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nkj\CS630Project\CS630Project\"/>
    </mc:Choice>
  </mc:AlternateContent>
  <xr:revisionPtr revIDLastSave="0" documentId="13_ncr:1_{C54AEFB8-F663-4AB2-A1E3-D53A28BAA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1" l="1"/>
  <c r="G86" i="1"/>
  <c r="H85" i="1"/>
  <c r="H84" i="1"/>
  <c r="H83" i="1"/>
  <c r="H82" i="1"/>
  <c r="H81" i="1"/>
  <c r="H80" i="1"/>
  <c r="H79" i="1"/>
  <c r="H78" i="1"/>
  <c r="H77" i="1"/>
  <c r="H76" i="1"/>
  <c r="F86" i="1"/>
  <c r="E86" i="1"/>
  <c r="F85" i="1"/>
  <c r="F84" i="1"/>
  <c r="F83" i="1"/>
  <c r="F82" i="1"/>
  <c r="F81" i="1"/>
  <c r="F80" i="1"/>
  <c r="F79" i="1"/>
  <c r="F78" i="1"/>
  <c r="F77" i="1"/>
  <c r="F76" i="1"/>
  <c r="D86" i="1"/>
  <c r="C86" i="1"/>
  <c r="D85" i="1"/>
  <c r="D84" i="1"/>
  <c r="D83" i="1"/>
  <c r="D82" i="1"/>
  <c r="D81" i="1"/>
  <c r="D80" i="1"/>
  <c r="D79" i="1"/>
  <c r="D78" i="1"/>
  <c r="D77" i="1"/>
  <c r="D76" i="1"/>
  <c r="H74" i="1"/>
  <c r="G74" i="1"/>
  <c r="H73" i="1"/>
  <c r="H72" i="1"/>
  <c r="H71" i="1"/>
  <c r="H70" i="1"/>
  <c r="H69" i="1"/>
  <c r="H68" i="1"/>
  <c r="H67" i="1"/>
  <c r="H66" i="1"/>
  <c r="H65" i="1"/>
  <c r="H64" i="1"/>
  <c r="F74" i="1"/>
  <c r="E74" i="1"/>
  <c r="F73" i="1"/>
  <c r="F72" i="1"/>
  <c r="F71" i="1"/>
  <c r="F70" i="1"/>
  <c r="F69" i="1"/>
  <c r="F68" i="1"/>
  <c r="F67" i="1"/>
  <c r="F66" i="1"/>
  <c r="F65" i="1"/>
  <c r="F64" i="1"/>
  <c r="D74" i="1"/>
  <c r="C74" i="1"/>
  <c r="D73" i="1"/>
  <c r="D72" i="1"/>
  <c r="D71" i="1"/>
  <c r="D70" i="1"/>
  <c r="D69" i="1"/>
  <c r="D68" i="1"/>
  <c r="D67" i="1"/>
  <c r="D66" i="1"/>
  <c r="D65" i="1"/>
  <c r="D64" i="1"/>
  <c r="H62" i="1"/>
  <c r="G62" i="1"/>
  <c r="H61" i="1"/>
  <c r="H60" i="1"/>
  <c r="H59" i="1"/>
  <c r="H58" i="1"/>
  <c r="H57" i="1"/>
  <c r="H56" i="1"/>
  <c r="H55" i="1"/>
  <c r="H54" i="1"/>
  <c r="H53" i="1"/>
  <c r="H52" i="1"/>
  <c r="F62" i="1"/>
  <c r="E62" i="1"/>
  <c r="F61" i="1"/>
  <c r="F60" i="1"/>
  <c r="F59" i="1"/>
  <c r="F58" i="1"/>
  <c r="F57" i="1"/>
  <c r="F56" i="1"/>
  <c r="F55" i="1"/>
  <c r="F54" i="1"/>
  <c r="F53" i="1"/>
  <c r="F52" i="1"/>
  <c r="D62" i="1"/>
  <c r="C62" i="1"/>
  <c r="D61" i="1"/>
  <c r="D60" i="1"/>
  <c r="D59" i="1"/>
  <c r="D58" i="1"/>
  <c r="D57" i="1"/>
  <c r="D56" i="1"/>
  <c r="D55" i="1"/>
  <c r="D54" i="1"/>
  <c r="D53" i="1"/>
  <c r="D52" i="1"/>
  <c r="F41" i="1"/>
  <c r="D50" i="1"/>
  <c r="C50" i="1"/>
  <c r="D49" i="1"/>
  <c r="D48" i="1"/>
  <c r="D47" i="1"/>
  <c r="D46" i="1"/>
  <c r="D45" i="1"/>
  <c r="D44" i="1"/>
  <c r="D43" i="1"/>
  <c r="D42" i="1"/>
  <c r="D41" i="1"/>
  <c r="D40" i="1"/>
  <c r="H38" i="1"/>
  <c r="G38" i="1"/>
  <c r="H37" i="1"/>
  <c r="H36" i="1"/>
  <c r="H35" i="1"/>
  <c r="H34" i="1"/>
  <c r="H33" i="1"/>
  <c r="H32" i="1"/>
  <c r="H31" i="1"/>
  <c r="H30" i="1"/>
  <c r="H29" i="1"/>
  <c r="H28" i="1"/>
  <c r="F38" i="1"/>
  <c r="E38" i="1"/>
  <c r="F37" i="1"/>
  <c r="F36" i="1"/>
  <c r="F35" i="1"/>
  <c r="F34" i="1"/>
  <c r="F33" i="1"/>
  <c r="F32" i="1"/>
  <c r="F31" i="1"/>
  <c r="F30" i="1"/>
  <c r="F29" i="1"/>
  <c r="F28" i="1"/>
  <c r="D38" i="1"/>
  <c r="C38" i="1"/>
  <c r="D37" i="1"/>
  <c r="D36" i="1"/>
  <c r="D35" i="1"/>
  <c r="D34" i="1"/>
  <c r="D33" i="1"/>
  <c r="D32" i="1"/>
  <c r="D31" i="1"/>
  <c r="D30" i="1"/>
  <c r="D29" i="1"/>
  <c r="D28" i="1"/>
  <c r="H26" i="1"/>
  <c r="G26" i="1"/>
  <c r="F26" i="1"/>
  <c r="E26" i="1"/>
  <c r="D26" i="1"/>
  <c r="C26" i="1"/>
  <c r="H14" i="1"/>
  <c r="G14" i="1"/>
  <c r="F14" i="1"/>
  <c r="E14" i="1"/>
  <c r="D14" i="1"/>
  <c r="C14" i="1"/>
  <c r="H25" i="1"/>
  <c r="H24" i="1"/>
  <c r="H23" i="1"/>
  <c r="H22" i="1"/>
  <c r="H21" i="1"/>
  <c r="H20" i="1"/>
  <c r="H19" i="1"/>
  <c r="H18" i="1"/>
  <c r="H17" i="1"/>
  <c r="H16" i="1"/>
  <c r="F25" i="1"/>
  <c r="F24" i="1"/>
  <c r="F23" i="1"/>
  <c r="F22" i="1"/>
  <c r="F21" i="1"/>
  <c r="F20" i="1"/>
  <c r="F19" i="1"/>
  <c r="F18" i="1"/>
  <c r="F17" i="1"/>
  <c r="F16" i="1"/>
  <c r="D25" i="1"/>
  <c r="D24" i="1"/>
  <c r="D23" i="1"/>
  <c r="D22" i="1"/>
  <c r="D21" i="1"/>
  <c r="D20" i="1"/>
  <c r="D19" i="1"/>
  <c r="D18" i="1"/>
  <c r="D17" i="1"/>
  <c r="D16" i="1"/>
  <c r="F40" i="1"/>
  <c r="H13" i="1"/>
  <c r="H12" i="1"/>
  <c r="H11" i="1"/>
  <c r="H10" i="1"/>
  <c r="H9" i="1"/>
  <c r="H8" i="1"/>
  <c r="H7" i="1"/>
  <c r="H6" i="1"/>
  <c r="H5" i="1"/>
  <c r="H4" i="1"/>
  <c r="F13" i="1"/>
  <c r="F12" i="1"/>
  <c r="F11" i="1"/>
  <c r="F10" i="1"/>
  <c r="F9" i="1"/>
  <c r="F8" i="1"/>
  <c r="F7" i="1"/>
  <c r="F6" i="1"/>
  <c r="F5" i="1"/>
  <c r="F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<sst xmlns="http://schemas.openxmlformats.org/spreadsheetml/2006/main" count="163" uniqueCount="33">
  <si>
    <t>Languages</t>
  </si>
  <si>
    <t>Low Load</t>
  </si>
  <si>
    <t>C</t>
  </si>
  <si>
    <t>Run Time (secs):</t>
  </si>
  <si>
    <t>Experiment Trials</t>
  </si>
  <si>
    <t>Medium Load</t>
  </si>
  <si>
    <t>High Load</t>
  </si>
  <si>
    <t>Low Load Computation: Sum integers from 1 to n</t>
  </si>
  <si>
    <t>High Load Computation: Multiply 2 nxn matrices</t>
  </si>
  <si>
    <t>Java</t>
  </si>
  <si>
    <t>Python</t>
  </si>
  <si>
    <t>C++</t>
  </si>
  <si>
    <t>Medium Load Computation: Sort n randomly generated numbers (quick sort)</t>
  </si>
  <si>
    <t>C#</t>
  </si>
  <si>
    <t>Base Power Draw:</t>
  </si>
  <si>
    <t>Energy Consumption (W)</t>
  </si>
  <si>
    <t>W</t>
  </si>
  <si>
    <t>Trials</t>
  </si>
  <si>
    <t>Energy Consumption metric based on max energy spike during program execution</t>
  </si>
  <si>
    <t>Javascript</t>
  </si>
  <si>
    <t>Average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</si>
  <si>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</si>
  <si>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</si>
  <si>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</si>
  <si>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</si>
  <si>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</si>
  <si>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</si>
  <si>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</si>
  <si>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</si>
  <si>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</si>
  <si>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</si>
  <si>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Go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</si>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</sst>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0" xfId="0" applyFon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/>
    <xf numFmtId="0" fontId="1" fillId="0" borderId="5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topLeftCell="A56" workbookViewId="0">
      <selection activeCell="H87" sqref="H87"/>
    </sheetView>
  </sheetViews>
  <sheetFormatPr defaultRowHeight="15" x14ac:dyDescent="0.25"/>
  <cols>
    <col min="1" max="2" width="16.28515625" customWidth="1"/>
    <col min="3" max="3" width="18" customWidth="1"/>
    <col min="4" max="4" width="24.85546875" customWidth="1"/>
    <col min="5" max="5" width="19.140625" customWidth="1"/>
    <col min="6" max="6" width="24.85546875" customWidth="1"/>
    <col min="7" max="7" width="19.42578125" customWidth="1"/>
    <col min="8" max="8" width="25.5703125" customWidth="1"/>
    <col min="12" max="12" width="54.28515625" customWidth="1"/>
  </cols>
  <sheetData>
    <row r="1" spans="1:13" ht="15.75" thickBot="1" x14ac:dyDescent="0.3">
      <c r="A1" s="4" t="s">
        <v>4</v>
      </c>
      <c r="B1" s="4"/>
    </row>
    <row r="2" spans="1:13" ht="15.75" thickBot="1" x14ac:dyDescent="0.3">
      <c r="A2" s="11" t="s">
        <v>0</v>
      </c>
      <c r="B2" s="1"/>
      <c r="C2" s="18" t="s">
        <v>1</v>
      </c>
      <c r="D2" s="19"/>
      <c r="E2" s="14" t="s">
        <v>5</v>
      </c>
      <c r="F2" s="15"/>
      <c r="G2" s="16" t="s">
        <v>6</v>
      </c>
      <c r="H2" s="17"/>
      <c r="L2" t="s">
        <v>7</v>
      </c>
    </row>
    <row r="3" spans="1:13" ht="15.75" thickBot="1" x14ac:dyDescent="0.3">
      <c r="A3" s="20" t="s">
        <v>2</v>
      </c>
      <c r="B3" s="9" t="s">
        <v>17</v>
      </c>
      <c r="C3" s="8" t="s">
        <v>3</v>
      </c>
      <c r="D3" s="8" t="s">
        <v>15</v>
      </c>
      <c r="E3" s="8" t="s">
        <v>3</v>
      </c>
      <c r="F3" s="8" t="s">
        <v>15</v>
      </c>
      <c r="G3" s="8" t="s">
        <v>3</v>
      </c>
      <c r="H3" s="8" t="s">
        <v>15</v>
      </c>
    </row>
    <row r="4" spans="1:13" x14ac:dyDescent="0.25">
      <c r="A4" s="21"/>
      <c r="B4" t="s">
        <v>21</v>
      </c>
      <c r="C4" s="2">
        <v>1.4410000000000001</v>
      </c>
      <c r="D4" s="5">
        <f>86.4-L10</f>
        <v>28.400000000000006</v>
      </c>
      <c r="E4" s="2">
        <v>7.8659999999999997</v>
      </c>
      <c r="F4" s="5">
        <f>100.1-L10</f>
        <v>42.099999999999994</v>
      </c>
      <c r="G4" s="2">
        <v>16.331</v>
      </c>
      <c r="H4" s="5">
        <f>114-L10</f>
        <v>56</v>
      </c>
      <c r="L4" t="s">
        <v>12</v>
      </c>
    </row>
    <row r="5" spans="1:13" x14ac:dyDescent="0.25">
      <c r="A5" s="21"/>
      <c r="B5" t="s">
        <v>22</v>
      </c>
      <c r="C5" s="2">
        <v>1.4410000000000001</v>
      </c>
      <c r="D5" s="6">
        <f>85.5-L10</f>
        <v>27.5</v>
      </c>
      <c r="E5" s="2">
        <v>7.9009999999999998</v>
      </c>
      <c r="F5" s="6">
        <f>102.3-L10</f>
        <v>44.3</v>
      </c>
      <c r="G5" s="2">
        <v>16.399000000000001</v>
      </c>
      <c r="H5" s="6">
        <f>98.3-L10</f>
        <v>40.299999999999997</v>
      </c>
    </row>
    <row r="6" spans="1:13" x14ac:dyDescent="0.25">
      <c r="A6" s="21"/>
      <c r="B6" t="s">
        <v>23</v>
      </c>
      <c r="C6" s="2">
        <v>1.4339999999999999</v>
      </c>
      <c r="D6" s="6">
        <f>85.1-L10</f>
        <v>27.099999999999994</v>
      </c>
      <c r="E6" s="2">
        <v>7.851</v>
      </c>
      <c r="F6" s="6">
        <f>103.1-L10</f>
        <v>45.099999999999994</v>
      </c>
      <c r="G6" s="2">
        <v>16.114999999999998</v>
      </c>
      <c r="H6" s="6">
        <f>96.1-L10</f>
        <v>38.099999999999994</v>
      </c>
      <c r="L6" t="s">
        <v>8</v>
      </c>
    </row>
    <row r="7" spans="1:13" x14ac:dyDescent="0.25">
      <c r="A7" s="21"/>
      <c r="B7" t="s">
        <v>24</v>
      </c>
      <c r="C7" s="2">
        <v>1.4410000000000001</v>
      </c>
      <c r="D7" s="6">
        <f>86.9-L10</f>
        <v>28.900000000000006</v>
      </c>
      <c r="E7" s="2">
        <v>7.8810000000000002</v>
      </c>
      <c r="F7" s="6">
        <f>100.5-L10</f>
        <v>42.5</v>
      </c>
      <c r="G7" s="2">
        <v>15.4</v>
      </c>
      <c r="H7" s="6">
        <f>96.2-L10</f>
        <v>38.200000000000003</v>
      </c>
    </row>
    <row r="8" spans="1:13" x14ac:dyDescent="0.25">
      <c r="A8" s="21"/>
      <c r="B8" t="s">
        <v>25</v>
      </c>
      <c r="C8" s="2">
        <v>1.4359999999999999</v>
      </c>
      <c r="D8" s="6">
        <f>86.5-L10</f>
        <v>28.5</v>
      </c>
      <c r="E8" s="2">
        <v>7.9630000000000001</v>
      </c>
      <c r="F8" s="6">
        <f>98.4-L10</f>
        <v>40.400000000000006</v>
      </c>
      <c r="G8" s="2">
        <v>15.377000000000001</v>
      </c>
      <c r="H8" s="6">
        <f>95.7-L10</f>
        <v>37.700000000000003</v>
      </c>
    </row>
    <row r="9" spans="1:13" x14ac:dyDescent="0.25">
      <c r="A9" s="21"/>
      <c r="B9" t="s">
        <v>26</v>
      </c>
      <c r="C9" s="2">
        <v>1.4510000000000001</v>
      </c>
      <c r="D9" s="6">
        <f>89.3-L10</f>
        <v>31.299999999999997</v>
      </c>
      <c r="E9" s="2">
        <v>7.85</v>
      </c>
      <c r="F9" s="6">
        <f>100.6-L10</f>
        <v>42.599999999999994</v>
      </c>
      <c r="G9" s="2">
        <v>15.115</v>
      </c>
      <c r="H9" s="6">
        <f>97.7-L10</f>
        <v>39.700000000000003</v>
      </c>
      <c r="L9" t="s">
        <v>14</v>
      </c>
    </row>
    <row r="10" spans="1:13" x14ac:dyDescent="0.25">
      <c r="A10" s="21"/>
      <c r="B10" t="s">
        <v>27</v>
      </c>
      <c r="C10" s="2">
        <v>1.4279999999999999</v>
      </c>
      <c r="D10" s="6">
        <f>86.2-L10</f>
        <v>28.200000000000003</v>
      </c>
      <c r="E10" s="2">
        <v>7.9059999999999997</v>
      </c>
      <c r="F10" s="6">
        <f>101.2-L10</f>
        <v>43.2</v>
      </c>
      <c r="G10" s="2">
        <v>15.198</v>
      </c>
      <c r="H10" s="6">
        <f>113.2-L10</f>
        <v>55.2</v>
      </c>
      <c r="L10">
        <v>58</v>
      </c>
      <c r="M10" t="s">
        <v>16</v>
      </c>
    </row>
    <row r="11" spans="1:13" x14ac:dyDescent="0.25">
      <c r="A11" s="21"/>
      <c r="B11" t="s">
        <v>28</v>
      </c>
      <c r="C11" s="2">
        <v>1.4419999999999999</v>
      </c>
      <c r="D11" s="6">
        <f>86.1-L10</f>
        <v>28.099999999999994</v>
      </c>
      <c r="E11" s="2">
        <v>7.843</v>
      </c>
      <c r="F11" s="6">
        <f>101-L10</f>
        <v>43</v>
      </c>
      <c r="G11" s="2">
        <v>14.914</v>
      </c>
      <c r="H11" s="6">
        <f>97.2-L10</f>
        <v>39.200000000000003</v>
      </c>
      <c r="L11" t="s">
        <v>18</v>
      </c>
    </row>
    <row r="12" spans="1:13" x14ac:dyDescent="0.25">
      <c r="A12" s="21"/>
      <c r="B12" t="s">
        <v>29</v>
      </c>
      <c r="C12" s="2">
        <v>1.4350000000000001</v>
      </c>
      <c r="D12" s="6">
        <f>86.7-L10</f>
        <v>28.700000000000003</v>
      </c>
      <c r="E12" s="2">
        <v>7.9020000000000001</v>
      </c>
      <c r="F12" s="6">
        <f>107.1-L10</f>
        <v>49.099999999999994</v>
      </c>
      <c r="G12" s="2">
        <v>15.242000000000001</v>
      </c>
      <c r="H12" s="6">
        <f>98-L10</f>
        <v>40</v>
      </c>
    </row>
    <row r="13" spans="1:13" ht="15.75" thickBot="1" x14ac:dyDescent="0.3">
      <c r="A13" s="21"/>
      <c r="B13" s="10" t="s">
        <v>30</v>
      </c>
      <c r="C13" s="3">
        <v>1.4339999999999999</v>
      </c>
      <c r="D13" s="7">
        <f>83.8-L10</f>
        <v>25.799999999999997</v>
      </c>
      <c r="E13" s="3">
        <v>7.92</v>
      </c>
      <c r="F13" s="7">
        <f>98-L10</f>
        <v>40</v>
      </c>
      <c r="G13" s="3">
        <v>15.268000000000001</v>
      </c>
      <c r="H13" s="7">
        <f>97.7-L10</f>
        <v>39.700000000000003</v>
      </c>
    </row>
    <row r="14" spans="1:13" ht="15.75" thickBot="1" x14ac:dyDescent="0.3">
      <c r="A14" s="22"/>
      <c r="B14" s="8" t="s">
        <v>20</v>
      </c>
      <c r="C14" s="1">
        <f t="shared" ref="C14:H14" si="0">AVERAGE(C4:C13)</f>
        <v>1.4382999999999999</v>
      </c>
      <c r="D14" s="13">
        <f t="shared" si="0"/>
        <v>28.25</v>
      </c>
      <c r="E14" s="12">
        <f t="shared" si="0"/>
        <v>7.8882999999999992</v>
      </c>
      <c r="F14" s="13">
        <f t="shared" si="0"/>
        <v>43.23</v>
      </c>
      <c r="G14" s="12">
        <f t="shared" si="0"/>
        <v>15.535900000000002</v>
      </c>
      <c r="H14" s="13">
        <f t="shared" si="0"/>
        <v>42.409999999999989</v>
      </c>
    </row>
    <row r="15" spans="1:13" ht="15.75" thickBot="1" x14ac:dyDescent="0.3">
      <c r="A15" s="20" t="s">
        <v>9</v>
      </c>
      <c r="B15" s="9" t="s">
        <v>17</v>
      </c>
      <c r="C15" s="8" t="s">
        <v>3</v>
      </c>
      <c r="D15" s="8" t="s">
        <v>15</v>
      </c>
      <c r="E15" s="8" t="s">
        <v>3</v>
      </c>
      <c r="F15" s="8" t="s">
        <v>15</v>
      </c>
      <c r="G15" s="8" t="s">
        <v>3</v>
      </c>
      <c r="H15" s="8" t="s">
        <v>15</v>
      </c>
    </row>
    <row r="16" spans="1:13" x14ac:dyDescent="0.25">
      <c r="A16" s="21"/>
      <c r="B16" t="s">
        <v>21</v>
      </c>
      <c r="C16" s="2">
        <v>0.21199999999999999</v>
      </c>
      <c r="D16" s="5">
        <f>84.3-L10</f>
        <v>26.299999999999997</v>
      </c>
      <c r="E16" s="2">
        <v>2.4340000000000002</v>
      </c>
      <c r="F16" s="5">
        <f>101.5-L10</f>
        <v>43.5</v>
      </c>
      <c r="G16" s="2">
        <v>34.027999999999999</v>
      </c>
      <c r="H16" s="5">
        <f>91.3-L10</f>
        <v>33.299999999999997</v>
      </c>
    </row>
    <row r="17" spans="1:8" x14ac:dyDescent="0.25">
      <c r="A17" s="21"/>
      <c r="B17" t="s">
        <v>22</v>
      </c>
      <c r="C17" s="2">
        <v>0.20699999999999999</v>
      </c>
      <c r="D17" s="6">
        <f>87.9-L10</f>
        <v>29.900000000000006</v>
      </c>
      <c r="E17" s="2">
        <v>2.4049999999999998</v>
      </c>
      <c r="F17" s="6">
        <f>100.4-L10</f>
        <v>42.400000000000006</v>
      </c>
      <c r="G17" s="2">
        <v>32.554000000000002</v>
      </c>
      <c r="H17" s="6">
        <f>110.3-L10</f>
        <v>52.3</v>
      </c>
    </row>
    <row r="18" spans="1:8" x14ac:dyDescent="0.25">
      <c r="A18" s="21"/>
      <c r="B18" t="s">
        <v>23</v>
      </c>
      <c r="C18" s="2">
        <v>0.20599999999999999</v>
      </c>
      <c r="D18" s="6">
        <f>73.8-L10</f>
        <v>15.799999999999997</v>
      </c>
      <c r="E18" s="2">
        <v>2.0270000000000001</v>
      </c>
      <c r="F18" s="6">
        <f>101.5-L10</f>
        <v>43.5</v>
      </c>
      <c r="G18" s="2">
        <v>33.338000000000001</v>
      </c>
      <c r="H18" s="6">
        <f>109.7-L10</f>
        <v>51.7</v>
      </c>
    </row>
    <row r="19" spans="1:8" x14ac:dyDescent="0.25">
      <c r="A19" s="21"/>
      <c r="B19" t="s">
        <v>24</v>
      </c>
      <c r="C19" s="2">
        <v>0.214</v>
      </c>
      <c r="D19" s="6">
        <f>85.3-L10</f>
        <v>27.299999999999997</v>
      </c>
      <c r="E19" s="2">
        <v>3.202</v>
      </c>
      <c r="F19" s="6">
        <f>102.5-L10</f>
        <v>44.5</v>
      </c>
      <c r="G19" s="2">
        <v>32.970999999999997</v>
      </c>
      <c r="H19" s="6">
        <f>92-L10</f>
        <v>34</v>
      </c>
    </row>
    <row r="20" spans="1:8" x14ac:dyDescent="0.25">
      <c r="A20" s="21"/>
      <c r="B20" t="s">
        <v>25</v>
      </c>
      <c r="C20" s="2">
        <v>0.21099999999999999</v>
      </c>
      <c r="D20" s="6">
        <f>85.5-L10</f>
        <v>27.5</v>
      </c>
      <c r="E20" s="2">
        <v>2.1480000000000001</v>
      </c>
      <c r="F20" s="6">
        <f>100.7-L10</f>
        <v>42.7</v>
      </c>
      <c r="G20" s="2">
        <v>33.603999999999999</v>
      </c>
      <c r="H20" s="6">
        <f>91.9-L10</f>
        <v>33.900000000000006</v>
      </c>
    </row>
    <row r="21" spans="1:8" x14ac:dyDescent="0.25">
      <c r="A21" s="21"/>
      <c r="B21" t="s">
        <v>26</v>
      </c>
      <c r="C21" s="2">
        <v>0.20499999999999999</v>
      </c>
      <c r="D21" s="6">
        <f>80.4-L10</f>
        <v>22.400000000000006</v>
      </c>
      <c r="E21" s="2">
        <v>2.024</v>
      </c>
      <c r="F21" s="6">
        <f>101.6-L10</f>
        <v>43.599999999999994</v>
      </c>
      <c r="G21" s="2">
        <v>33.329000000000001</v>
      </c>
      <c r="H21" s="6">
        <f>109.8-L10</f>
        <v>51.8</v>
      </c>
    </row>
    <row r="22" spans="1:8" x14ac:dyDescent="0.25">
      <c r="A22" s="21"/>
      <c r="B22" t="s">
        <v>27</v>
      </c>
      <c r="C22" s="2">
        <v>0.21199999999999999</v>
      </c>
      <c r="D22" s="6">
        <f>82.5-L10</f>
        <v>24.5</v>
      </c>
      <c r="E22" s="2">
        <v>2.653</v>
      </c>
      <c r="F22" s="6">
        <f>101.3-L10</f>
        <v>43.3</v>
      </c>
      <c r="G22" s="2">
        <v>33.363</v>
      </c>
      <c r="H22" s="6">
        <f>93-L10</f>
        <v>35</v>
      </c>
    </row>
    <row r="23" spans="1:8" x14ac:dyDescent="0.25">
      <c r="A23" s="21"/>
      <c r="B23" t="s">
        <v>28</v>
      </c>
      <c r="C23" s="2">
        <v>0.20699999999999999</v>
      </c>
      <c r="D23" s="6">
        <f>79.9-L10</f>
        <v>21.900000000000006</v>
      </c>
      <c r="E23" s="2">
        <v>2.0310000000000001</v>
      </c>
      <c r="F23" s="6">
        <f>101.4-L10</f>
        <v>43.400000000000006</v>
      </c>
      <c r="G23" s="2">
        <v>34.213000000000001</v>
      </c>
      <c r="H23" s="6">
        <f>110.5-L10</f>
        <v>52.5</v>
      </c>
    </row>
    <row r="24" spans="1:8" x14ac:dyDescent="0.25">
      <c r="A24" s="21"/>
      <c r="B24" t="s">
        <v>29</v>
      </c>
      <c r="C24" s="2">
        <v>0.20499999999999999</v>
      </c>
      <c r="D24" s="6">
        <f>75.9-L10</f>
        <v>17.900000000000006</v>
      </c>
      <c r="E24" s="2">
        <v>3.09</v>
      </c>
      <c r="F24" s="6">
        <f>101.9-L10</f>
        <v>43.900000000000006</v>
      </c>
      <c r="G24" s="2">
        <v>33.953000000000003</v>
      </c>
      <c r="H24" s="6">
        <f>96.3-L10</f>
        <v>38.299999999999997</v>
      </c>
    </row>
    <row r="25" spans="1:8" ht="15.75" thickBot="1" x14ac:dyDescent="0.3">
      <c r="A25" s="21"/>
      <c r="B25" s="10" t="s">
        <v>30</v>
      </c>
      <c r="C25" s="3">
        <v>0.20599999999999999</v>
      </c>
      <c r="D25" s="7">
        <f>84.8-L10</f>
        <v>26.799999999999997</v>
      </c>
      <c r="E25" s="3">
        <v>2.0329999999999999</v>
      </c>
      <c r="F25" s="7">
        <f>100.1-L10</f>
        <v>42.099999999999994</v>
      </c>
      <c r="G25" s="3">
        <v>33.481999999999999</v>
      </c>
      <c r="H25" s="7">
        <f>110.3-L10</f>
        <v>52.3</v>
      </c>
    </row>
    <row r="26" spans="1:8" ht="15.75" thickBot="1" x14ac:dyDescent="0.3">
      <c r="A26" s="22"/>
      <c r="B26" s="8" t="s">
        <v>20</v>
      </c>
      <c r="C26" s="1">
        <f t="shared" ref="C26:H26" si="1">AVERAGE(C16:C25)</f>
        <v>0.20850000000000005</v>
      </c>
      <c r="D26" s="13">
        <f t="shared" si="1"/>
        <v>24.03</v>
      </c>
      <c r="E26" s="12">
        <f t="shared" si="1"/>
        <v>2.4047000000000001</v>
      </c>
      <c r="F26" s="13">
        <f t="shared" si="1"/>
        <v>43.290000000000006</v>
      </c>
      <c r="G26" s="12">
        <f t="shared" si="1"/>
        <v>33.483500000000006</v>
      </c>
      <c r="H26" s="13">
        <f t="shared" si="1"/>
        <v>43.510000000000005</v>
      </c>
    </row>
    <row r="27" spans="1:8" ht="15.75" thickBot="1" x14ac:dyDescent="0.3">
      <c r="A27" s="20" t="s">
        <v>19</v>
      </c>
      <c r="B27" s="9" t="s">
        <v>17</v>
      </c>
      <c r="C27" s="8" t="s">
        <v>3</v>
      </c>
      <c r="D27" s="8" t="s">
        <v>15</v>
      </c>
      <c r="E27" s="8" t="s">
        <v>3</v>
      </c>
      <c r="F27" s="8" t="s">
        <v>15</v>
      </c>
      <c r="G27" s="8" t="s">
        <v>3</v>
      </c>
      <c r="H27" s="8" t="s">
        <v>15</v>
      </c>
    </row>
    <row r="28" spans="1:8" x14ac:dyDescent="0.25">
      <c r="A28" s="21"/>
      <c r="B28" t="s">
        <v>21</v>
      </c>
      <c r="C28" s="2">
        <v>0.38900000000000001</v>
      </c>
      <c r="D28" s="5">
        <f>74.9-L10</f>
        <v>16.900000000000006</v>
      </c>
      <c r="E28" s="2">
        <v>6.4630000000000001</v>
      </c>
      <c r="F28" s="5">
        <f>95.6-L10</f>
        <v>37.599999999999994</v>
      </c>
      <c r="G28" s="2">
        <v>42.149000000000001</v>
      </c>
      <c r="H28" s="5">
        <f>99.1-L10</f>
        <v>41.099999999999994</v>
      </c>
    </row>
    <row r="29" spans="1:8" x14ac:dyDescent="0.25">
      <c r="A29" s="21"/>
      <c r="B29" t="s">
        <v>22</v>
      </c>
      <c r="C29" s="2">
        <v>0.39900000000000002</v>
      </c>
      <c r="D29" s="6">
        <f>88.5-L10</f>
        <v>30.5</v>
      </c>
      <c r="E29" s="2">
        <v>6.4480000000000004</v>
      </c>
      <c r="F29" s="6">
        <f>95.4-L10</f>
        <v>37.400000000000006</v>
      </c>
      <c r="G29" s="2">
        <v>41.746000000000002</v>
      </c>
      <c r="H29" s="6">
        <f>95.6-L10</f>
        <v>37.599999999999994</v>
      </c>
    </row>
    <row r="30" spans="1:8" x14ac:dyDescent="0.25">
      <c r="A30" s="21"/>
      <c r="B30" t="s">
        <v>23</v>
      </c>
      <c r="C30" s="2">
        <v>0.38900000000000001</v>
      </c>
      <c r="D30" s="6">
        <f>76-L10</f>
        <v>18</v>
      </c>
      <c r="E30" s="2">
        <v>6.4020000000000001</v>
      </c>
      <c r="F30" s="6">
        <f>98.8-L10</f>
        <v>40.799999999999997</v>
      </c>
      <c r="G30" s="2">
        <v>47.521000000000001</v>
      </c>
      <c r="H30" s="6">
        <f>104-L10</f>
        <v>46</v>
      </c>
    </row>
    <row r="31" spans="1:8" x14ac:dyDescent="0.25">
      <c r="A31" s="21"/>
      <c r="B31" t="s">
        <v>24</v>
      </c>
      <c r="C31" s="2">
        <v>0.39700000000000002</v>
      </c>
      <c r="D31" s="6">
        <f>88.4-L10</f>
        <v>30.400000000000006</v>
      </c>
      <c r="E31" s="2">
        <v>6.4269999999999996</v>
      </c>
      <c r="F31" s="6">
        <f>96-L10</f>
        <v>38</v>
      </c>
      <c r="G31" s="2">
        <v>42.146999999999998</v>
      </c>
      <c r="H31" s="6">
        <f>97.6-L10</f>
        <v>39.599999999999994</v>
      </c>
    </row>
    <row r="32" spans="1:8" x14ac:dyDescent="0.25">
      <c r="A32" s="21"/>
      <c r="B32" t="s">
        <v>25</v>
      </c>
      <c r="C32" s="2">
        <v>0.39400000000000002</v>
      </c>
      <c r="D32" s="6">
        <f>81.9-L10</f>
        <v>23.900000000000006</v>
      </c>
      <c r="E32" s="2">
        <v>6.4279999999999999</v>
      </c>
      <c r="F32" s="6">
        <f>96.8-L10</f>
        <v>38.799999999999997</v>
      </c>
      <c r="G32" s="2">
        <v>42.819000000000003</v>
      </c>
      <c r="H32" s="6">
        <f>96.3-L10</f>
        <v>38.299999999999997</v>
      </c>
    </row>
    <row r="33" spans="1:8" x14ac:dyDescent="0.25">
      <c r="A33" s="21"/>
      <c r="B33" t="s">
        <v>26</v>
      </c>
      <c r="C33" s="2">
        <v>0.39200000000000002</v>
      </c>
      <c r="D33" s="6">
        <f>87-L10</f>
        <v>29</v>
      </c>
      <c r="E33" s="2">
        <v>6.44</v>
      </c>
      <c r="F33" s="6">
        <f>95.3-L10</f>
        <v>37.299999999999997</v>
      </c>
      <c r="G33" s="2">
        <v>42.481999999999999</v>
      </c>
      <c r="H33" s="6">
        <f>95-L10</f>
        <v>37</v>
      </c>
    </row>
    <row r="34" spans="1:8" x14ac:dyDescent="0.25">
      <c r="A34" s="21"/>
      <c r="B34" t="s">
        <v>27</v>
      </c>
      <c r="C34" s="2">
        <v>0.39800000000000002</v>
      </c>
      <c r="D34" s="6">
        <f>86.9-L10</f>
        <v>28.900000000000006</v>
      </c>
      <c r="E34" s="2">
        <v>6.4189999999999996</v>
      </c>
      <c r="F34" s="6">
        <f>102.9-L10</f>
        <v>44.900000000000006</v>
      </c>
      <c r="G34" s="2">
        <v>52.841999999999999</v>
      </c>
      <c r="H34" s="6">
        <f>95.6-L10</f>
        <v>37.599999999999994</v>
      </c>
    </row>
    <row r="35" spans="1:8" x14ac:dyDescent="0.25">
      <c r="A35" s="21"/>
      <c r="B35" t="s">
        <v>28</v>
      </c>
      <c r="C35" s="2">
        <v>0.39200000000000002</v>
      </c>
      <c r="D35" s="6">
        <f>86.6-L10</f>
        <v>28.599999999999994</v>
      </c>
      <c r="E35" s="2">
        <v>6.4180000000000001</v>
      </c>
      <c r="F35" s="6">
        <f>95.3-L10</f>
        <v>37.299999999999997</v>
      </c>
      <c r="G35" s="2">
        <v>44.850999999999999</v>
      </c>
      <c r="H35" s="6">
        <f>97.2-L10</f>
        <v>39.200000000000003</v>
      </c>
    </row>
    <row r="36" spans="1:8" x14ac:dyDescent="0.25">
      <c r="A36" s="21"/>
      <c r="B36" t="s">
        <v>29</v>
      </c>
      <c r="C36" s="2">
        <v>0.38900000000000001</v>
      </c>
      <c r="D36" s="6">
        <f>86.2-L10</f>
        <v>28.200000000000003</v>
      </c>
      <c r="E36" s="2">
        <v>6.3840000000000003</v>
      </c>
      <c r="F36" s="6">
        <f>95.7-L10</f>
        <v>37.700000000000003</v>
      </c>
      <c r="G36" s="2">
        <v>42.658999999999999</v>
      </c>
      <c r="H36" s="6">
        <f>95.1-L10</f>
        <v>37.099999999999994</v>
      </c>
    </row>
    <row r="37" spans="1:8" ht="15.75" thickBot="1" x14ac:dyDescent="0.3">
      <c r="A37" s="21"/>
      <c r="B37" s="10" t="s">
        <v>30</v>
      </c>
      <c r="C37" s="3">
        <v>0.39500000000000002</v>
      </c>
      <c r="D37" s="7">
        <f>79.9-L10</f>
        <v>21.900000000000006</v>
      </c>
      <c r="E37" s="3">
        <v>6.4539999999999997</v>
      </c>
      <c r="F37" s="7">
        <f>94.8-L10</f>
        <v>36.799999999999997</v>
      </c>
      <c r="G37" s="3">
        <v>45.715000000000003</v>
      </c>
      <c r="H37" s="7">
        <f>95.6-L10</f>
        <v>37.599999999999994</v>
      </c>
    </row>
    <row r="38" spans="1:8" ht="15.75" thickBot="1" x14ac:dyDescent="0.3">
      <c r="A38" s="22"/>
      <c r="B38" s="8" t="s">
        <v>20</v>
      </c>
      <c r="C38" s="1">
        <f t="shared" ref="C38:H38" si="2">AVERAGE(C28:C37)</f>
        <v>0.39339999999999997</v>
      </c>
      <c r="D38" s="13">
        <f t="shared" si="2"/>
        <v>25.630000000000006</v>
      </c>
      <c r="E38" s="12">
        <f t="shared" si="2"/>
        <v>6.4282999999999983</v>
      </c>
      <c r="F38" s="13">
        <f t="shared" si="2"/>
        <v>38.660000000000011</v>
      </c>
      <c r="G38" s="12">
        <f t="shared" si="2"/>
        <v>44.493100000000005</v>
      </c>
      <c r="H38" s="13">
        <f t="shared" si="2"/>
        <v>39.109999999999992</v>
      </c>
    </row>
    <row r="39" spans="1:8" ht="15.75" thickBot="1" x14ac:dyDescent="0.3">
      <c r="A39" s="20" t="s">
        <v>10</v>
      </c>
      <c r="B39" s="9" t="s">
        <v>17</v>
      </c>
      <c r="C39" s="8" t="s">
        <v>3</v>
      </c>
      <c r="D39" s="8" t="s">
        <v>15</v>
      </c>
      <c r="E39" s="8" t="s">
        <v>3</v>
      </c>
      <c r="F39" s="8" t="s">
        <v>15</v>
      </c>
      <c r="G39" s="8" t="s">
        <v>3</v>
      </c>
      <c r="H39" s="8" t="s">
        <v>15</v>
      </c>
    </row>
    <row r="40" spans="1:8" x14ac:dyDescent="0.25">
      <c r="A40" s="21"/>
      <c r="B40" t="s">
        <v>21</v>
      </c>
      <c r="C40" s="2">
        <v>18.312999999999999</v>
      </c>
      <c r="D40" s="5">
        <f>108.5-L10</f>
        <v>50.5</v>
      </c>
      <c r="E40" s="2">
        <v>391.25</v>
      </c>
      <c r="F40" s="5">
        <f>124.8-L10</f>
        <v>66.8</v>
      </c>
      <c r="G40" s="2"/>
      <c r="H40" s="5"/>
    </row>
    <row r="41" spans="1:8" x14ac:dyDescent="0.25">
      <c r="A41" s="21"/>
      <c r="B41" t="s">
        <v>22</v>
      </c>
      <c r="C41" s="2">
        <v>18.530999999999999</v>
      </c>
      <c r="D41" s="6">
        <f>105.9-L10</f>
        <v>47.900000000000006</v>
      </c>
      <c r="E41" s="2">
        <v>388.25</v>
      </c>
      <c r="F41" s="6">
        <f>133-L10</f>
        <v>75</v>
      </c>
      <c r="G41" s="2"/>
      <c r="H41" s="6"/>
    </row>
    <row r="42" spans="1:8" x14ac:dyDescent="0.25">
      <c r="A42" s="21"/>
      <c r="B42" t="s">
        <v>23</v>
      </c>
      <c r="C42" s="2">
        <v>18.297000000000001</v>
      </c>
      <c r="D42" s="6">
        <f>111.5-L10</f>
        <v>53.5</v>
      </c>
      <c r="E42" s="2"/>
      <c r="F42" s="6"/>
      <c r="G42" s="2"/>
      <c r="H42" s="6"/>
    </row>
    <row r="43" spans="1:8" x14ac:dyDescent="0.25">
      <c r="A43" s="21"/>
      <c r="B43" t="s">
        <v>24</v>
      </c>
      <c r="C43" s="2">
        <v>18.530999999999999</v>
      </c>
      <c r="D43" s="6">
        <f>111.4-L10</f>
        <v>53.400000000000006</v>
      </c>
      <c r="E43" s="2"/>
      <c r="F43" s="6"/>
      <c r="G43" s="2"/>
      <c r="H43" s="6"/>
    </row>
    <row r="44" spans="1:8" x14ac:dyDescent="0.25">
      <c r="A44" s="21"/>
      <c r="B44" t="s">
        <v>25</v>
      </c>
      <c r="C44" s="2">
        <v>18.405999999999999</v>
      </c>
      <c r="D44" s="6">
        <f>108.8-L10</f>
        <v>50.8</v>
      </c>
      <c r="E44" s="2"/>
      <c r="F44" s="6"/>
      <c r="G44" s="2"/>
      <c r="H44" s="6"/>
    </row>
    <row r="45" spans="1:8" x14ac:dyDescent="0.25">
      <c r="A45" s="21"/>
      <c r="B45" t="s">
        <v>26</v>
      </c>
      <c r="C45" s="2">
        <v>18.312999999999999</v>
      </c>
      <c r="D45" s="6">
        <f>111-L10</f>
        <v>53</v>
      </c>
      <c r="E45" s="2"/>
      <c r="F45" s="6"/>
      <c r="G45" s="2"/>
      <c r="H45" s="6"/>
    </row>
    <row r="46" spans="1:8" x14ac:dyDescent="0.25">
      <c r="A46" s="21"/>
      <c r="B46" t="s">
        <v>27</v>
      </c>
      <c r="C46" s="2">
        <v>18.469000000000001</v>
      </c>
      <c r="D46" s="6">
        <f>107.2-L10</f>
        <v>49.2</v>
      </c>
      <c r="E46" s="2"/>
      <c r="F46" s="6"/>
      <c r="G46" s="2"/>
      <c r="H46" s="6"/>
    </row>
    <row r="47" spans="1:8" x14ac:dyDescent="0.25">
      <c r="A47" s="21"/>
      <c r="B47" t="s">
        <v>28</v>
      </c>
      <c r="C47" s="2">
        <v>18.390999999999998</v>
      </c>
      <c r="D47" s="6">
        <f>108.4-L10</f>
        <v>50.400000000000006</v>
      </c>
      <c r="E47" s="2"/>
      <c r="F47" s="6"/>
      <c r="G47" s="2"/>
      <c r="H47" s="6"/>
    </row>
    <row r="48" spans="1:8" x14ac:dyDescent="0.25">
      <c r="A48" s="21"/>
      <c r="B48" t="s">
        <v>29</v>
      </c>
      <c r="C48" s="2">
        <v>18.375</v>
      </c>
      <c r="D48" s="6">
        <f>108.8-L10</f>
        <v>50.8</v>
      </c>
      <c r="E48" s="2"/>
      <c r="F48" s="6"/>
      <c r="G48" s="2"/>
      <c r="H48" s="6"/>
    </row>
    <row r="49" spans="1:8" ht="15.75" thickBot="1" x14ac:dyDescent="0.3">
      <c r="A49" s="21"/>
      <c r="B49" s="10" t="s">
        <v>30</v>
      </c>
      <c r="C49" s="3">
        <v>18.359000000000002</v>
      </c>
      <c r="D49" s="7">
        <f>112.5-L10</f>
        <v>54.5</v>
      </c>
      <c r="E49" s="3"/>
      <c r="F49" s="7"/>
      <c r="G49" s="3"/>
      <c r="H49" s="7"/>
    </row>
    <row r="50" spans="1:8" ht="15.75" thickBot="1" x14ac:dyDescent="0.3">
      <c r="A50" s="22"/>
      <c r="B50" s="8" t="s">
        <v>20</v>
      </c>
      <c r="C50" s="1">
        <f>AVERAGE(C40:C49)</f>
        <v>18.398500000000002</v>
      </c>
      <c r="D50" s="13">
        <f>AVERAGE(D40:D49)</f>
        <v>51.4</v>
      </c>
      <c r="E50" s="12"/>
      <c r="F50" s="13"/>
      <c r="G50" s="12"/>
      <c r="H50" s="13"/>
    </row>
    <row r="51" spans="1:8" ht="15.75" thickBot="1" x14ac:dyDescent="0.3">
      <c r="A51" s="20" t="s">
        <v>11</v>
      </c>
      <c r="B51" s="9" t="s">
        <v>17</v>
      </c>
      <c r="C51" s="8" t="s">
        <v>3</v>
      </c>
      <c r="D51" s="8" t="s">
        <v>15</v>
      </c>
      <c r="E51" s="8" t="s">
        <v>3</v>
      </c>
      <c r="F51" s="8" t="s">
        <v>15</v>
      </c>
      <c r="G51" s="8" t="s">
        <v>3</v>
      </c>
      <c r="H51" s="8" t="s">
        <v>15</v>
      </c>
    </row>
    <row r="52" spans="1:8" x14ac:dyDescent="0.25">
      <c r="A52" s="21"/>
      <c r="B52" t="s">
        <v>21</v>
      </c>
      <c r="C52" s="2">
        <v>1.446</v>
      </c>
      <c r="D52" s="5">
        <f>87.1-L10</f>
        <v>29.099999999999994</v>
      </c>
      <c r="E52" s="2">
        <v>7.5449999999999999</v>
      </c>
      <c r="F52" s="5">
        <f>97.9-L10</f>
        <v>39.900000000000006</v>
      </c>
      <c r="G52" s="2">
        <v>15.707000000000001</v>
      </c>
      <c r="H52" s="5">
        <f>95.8-L10</f>
        <v>37.799999999999997</v>
      </c>
    </row>
    <row r="53" spans="1:8" x14ac:dyDescent="0.25">
      <c r="A53" s="21"/>
      <c r="B53" t="s">
        <v>22</v>
      </c>
      <c r="C53" s="2">
        <v>1.4419999999999999</v>
      </c>
      <c r="D53" s="6">
        <f>86.7-L10</f>
        <v>28.700000000000003</v>
      </c>
      <c r="E53" s="2">
        <v>7.5830000000000002</v>
      </c>
      <c r="F53" s="6">
        <f>100.3-L10</f>
        <v>42.3</v>
      </c>
      <c r="G53" s="2">
        <v>16.257000000000001</v>
      </c>
      <c r="H53" s="6">
        <f>94.6-L10</f>
        <v>36.599999999999994</v>
      </c>
    </row>
    <row r="54" spans="1:8" x14ac:dyDescent="0.25">
      <c r="A54" s="21"/>
      <c r="B54" t="s">
        <v>23</v>
      </c>
      <c r="C54" s="2">
        <v>1.44</v>
      </c>
      <c r="D54" s="6">
        <f>86.8-L10</f>
        <v>28.799999999999997</v>
      </c>
      <c r="E54" s="2">
        <v>7.5289999999999999</v>
      </c>
      <c r="F54" s="6">
        <f>100.3-L10</f>
        <v>42.3</v>
      </c>
      <c r="G54" s="2">
        <v>16.384</v>
      </c>
      <c r="H54" s="6">
        <f>99.6-L10</f>
        <v>41.599999999999994</v>
      </c>
    </row>
    <row r="55" spans="1:8" x14ac:dyDescent="0.25">
      <c r="A55" s="21"/>
      <c r="B55" t="s">
        <v>24</v>
      </c>
      <c r="C55" s="2">
        <v>1.444</v>
      </c>
      <c r="D55" s="6">
        <f>86.1-L10</f>
        <v>28.099999999999994</v>
      </c>
      <c r="E55" s="2">
        <v>7.5090000000000003</v>
      </c>
      <c r="F55" s="6">
        <f>104.1-L10</f>
        <v>46.099999999999994</v>
      </c>
      <c r="G55" s="2">
        <v>16.923999999999999</v>
      </c>
      <c r="H55" s="6">
        <f>100-L10</f>
        <v>42</v>
      </c>
    </row>
    <row r="56" spans="1:8" x14ac:dyDescent="0.25">
      <c r="A56" s="21"/>
      <c r="B56" t="s">
        <v>25</v>
      </c>
      <c r="C56" s="2">
        <v>1.45</v>
      </c>
      <c r="D56" s="6">
        <f>85.1-L10</f>
        <v>27.099999999999994</v>
      </c>
      <c r="E56" s="2">
        <v>7.5490000000000004</v>
      </c>
      <c r="F56" s="6">
        <f>100.8-L10</f>
        <v>42.8</v>
      </c>
      <c r="G56" s="2">
        <v>16.393999999999998</v>
      </c>
      <c r="H56" s="6">
        <f>96.6-L10</f>
        <v>38.599999999999994</v>
      </c>
    </row>
    <row r="57" spans="1:8" x14ac:dyDescent="0.25">
      <c r="A57" s="21"/>
      <c r="B57" t="s">
        <v>26</v>
      </c>
      <c r="C57" s="2">
        <v>1.4510000000000001</v>
      </c>
      <c r="D57" s="6">
        <f>86.1-L10</f>
        <v>28.099999999999994</v>
      </c>
      <c r="E57" s="2">
        <v>7.5110000000000001</v>
      </c>
      <c r="F57" s="6">
        <f>101.8-L10</f>
        <v>43.8</v>
      </c>
      <c r="G57" s="2">
        <v>16.076000000000001</v>
      </c>
      <c r="H57" s="6">
        <f>96.4-L10</f>
        <v>38.400000000000006</v>
      </c>
    </row>
    <row r="58" spans="1:8" x14ac:dyDescent="0.25">
      <c r="A58" s="21"/>
      <c r="B58" t="s">
        <v>27</v>
      </c>
      <c r="C58" s="2">
        <v>1.4450000000000001</v>
      </c>
      <c r="D58" s="6">
        <f>85.2-L10</f>
        <v>27.200000000000003</v>
      </c>
      <c r="E58" s="2">
        <v>7.5510000000000002</v>
      </c>
      <c r="F58" s="6">
        <f>100.1-L10</f>
        <v>42.099999999999994</v>
      </c>
      <c r="G58" s="2">
        <v>16.710999999999999</v>
      </c>
      <c r="H58" s="6">
        <f>103.3-L10</f>
        <v>45.3</v>
      </c>
    </row>
    <row r="59" spans="1:8" x14ac:dyDescent="0.25">
      <c r="A59" s="21"/>
      <c r="B59" t="s">
        <v>28</v>
      </c>
      <c r="C59" s="2">
        <v>1.4419999999999999</v>
      </c>
      <c r="D59" s="6">
        <f>86.6-L10</f>
        <v>28.599999999999994</v>
      </c>
      <c r="E59" s="2">
        <v>7.5819999999999999</v>
      </c>
      <c r="F59" s="6">
        <f>101.4-L10</f>
        <v>43.400000000000006</v>
      </c>
      <c r="G59" s="2">
        <v>16.303000000000001</v>
      </c>
      <c r="H59" s="6">
        <f>104.9-L10</f>
        <v>46.900000000000006</v>
      </c>
    </row>
    <row r="60" spans="1:8" x14ac:dyDescent="0.25">
      <c r="A60" s="21"/>
      <c r="B60" t="s">
        <v>29</v>
      </c>
      <c r="C60" s="2">
        <v>1.444</v>
      </c>
      <c r="D60" s="6">
        <f>86-L10</f>
        <v>28</v>
      </c>
      <c r="E60" s="2">
        <v>7.5279999999999996</v>
      </c>
      <c r="F60" s="6">
        <f>101.5-L10</f>
        <v>43.5</v>
      </c>
      <c r="G60" s="2">
        <v>15.858000000000001</v>
      </c>
      <c r="H60" s="6">
        <f>96.4-L10</f>
        <v>38.400000000000006</v>
      </c>
    </row>
    <row r="61" spans="1:8" ht="15.75" thickBot="1" x14ac:dyDescent="0.3">
      <c r="A61" s="21"/>
      <c r="B61" s="10" t="s">
        <v>30</v>
      </c>
      <c r="C61" s="3">
        <v>1.4370000000000001</v>
      </c>
      <c r="D61" s="7">
        <f>86.7-L10</f>
        <v>28.700000000000003</v>
      </c>
      <c r="E61" s="3">
        <v>7.5570000000000004</v>
      </c>
      <c r="F61" s="7">
        <f>100.3-L10</f>
        <v>42.3</v>
      </c>
      <c r="G61" s="3">
        <v>15.718</v>
      </c>
      <c r="H61" s="7">
        <f>96.7-L10</f>
        <v>38.700000000000003</v>
      </c>
    </row>
    <row r="62" spans="1:8" ht="15.75" thickBot="1" x14ac:dyDescent="0.3">
      <c r="A62" s="23"/>
      <c r="B62" s="8" t="s">
        <v>20</v>
      </c>
      <c r="C62" s="1">
        <f t="shared" ref="C62:H62" si="3">AVERAGE(C52:C61)</f>
        <v>1.4441000000000002</v>
      </c>
      <c r="D62" s="13">
        <f t="shared" si="3"/>
        <v>28.24</v>
      </c>
      <c r="E62" s="12">
        <f t="shared" si="3"/>
        <v>7.5444000000000013</v>
      </c>
      <c r="F62" s="13">
        <f t="shared" si="3"/>
        <v>42.849999999999994</v>
      </c>
      <c r="G62" s="12">
        <f t="shared" si="3"/>
        <v>16.2332</v>
      </c>
      <c r="H62" s="13">
        <f t="shared" si="3"/>
        <v>40.43</v>
      </c>
    </row>
    <row r="63" spans="1:8" ht="15.75" thickBot="1" x14ac:dyDescent="0.3">
      <c r="A63" s="20" t="s">
        <v>13</v>
      </c>
      <c r="B63" s="9" t="s">
        <v>17</v>
      </c>
      <c r="C63" s="8" t="s">
        <v>3</v>
      </c>
      <c r="D63" s="8" t="s">
        <v>15</v>
      </c>
      <c r="E63" s="8" t="s">
        <v>3</v>
      </c>
      <c r="F63" s="8" t="s">
        <v>15</v>
      </c>
      <c r="G63" s="8" t="s">
        <v>3</v>
      </c>
      <c r="H63" s="8" t="s">
        <v>15</v>
      </c>
    </row>
    <row r="64" spans="1:8" x14ac:dyDescent="0.25">
      <c r="A64" s="21"/>
      <c r="B64" t="s">
        <v>21</v>
      </c>
      <c r="C64" s="2">
        <v>0.58399999999999996</v>
      </c>
      <c r="D64" s="5">
        <f>101-L10</f>
        <v>43</v>
      </c>
      <c r="E64" s="2">
        <v>14.093999999999999</v>
      </c>
      <c r="F64" s="5">
        <f>108.8-L10</f>
        <v>50.8</v>
      </c>
      <c r="G64" s="2">
        <v>24.76</v>
      </c>
      <c r="H64" s="5">
        <f>107.2-L10</f>
        <v>49.2</v>
      </c>
    </row>
    <row r="65" spans="1:8" x14ac:dyDescent="0.25">
      <c r="A65" s="21"/>
      <c r="B65" t="s">
        <v>22</v>
      </c>
      <c r="C65" s="2">
        <v>0.58599999999999997</v>
      </c>
      <c r="D65" s="6">
        <f>104.5-L10</f>
        <v>46.5</v>
      </c>
      <c r="E65" s="2">
        <v>14.148</v>
      </c>
      <c r="F65" s="6">
        <f>108.2-L10</f>
        <v>50.2</v>
      </c>
      <c r="G65" s="2">
        <v>26.106999999999999</v>
      </c>
      <c r="H65" s="6">
        <f>97-L10</f>
        <v>39</v>
      </c>
    </row>
    <row r="66" spans="1:8" x14ac:dyDescent="0.25">
      <c r="A66" s="21"/>
      <c r="B66" t="s">
        <v>23</v>
      </c>
      <c r="C66" s="2">
        <v>0.59099999999999997</v>
      </c>
      <c r="D66" s="6">
        <f>96.2-L10</f>
        <v>38.200000000000003</v>
      </c>
      <c r="E66" s="2">
        <v>14.036</v>
      </c>
      <c r="F66" s="6">
        <f>110.5-L10</f>
        <v>52.5</v>
      </c>
      <c r="G66" s="2">
        <v>26.053000000000001</v>
      </c>
      <c r="H66" s="6">
        <f>97.1-L10</f>
        <v>39.099999999999994</v>
      </c>
    </row>
    <row r="67" spans="1:8" x14ac:dyDescent="0.25">
      <c r="A67" s="21"/>
      <c r="B67" t="s">
        <v>24</v>
      </c>
      <c r="C67" s="2">
        <v>0.59</v>
      </c>
      <c r="D67" s="6">
        <f>99.3-L10</f>
        <v>41.3</v>
      </c>
      <c r="E67" s="2">
        <v>14.113</v>
      </c>
      <c r="F67" s="6">
        <f>112.7-L10</f>
        <v>54.7</v>
      </c>
      <c r="G67" s="2">
        <v>26.308</v>
      </c>
      <c r="H67" s="6">
        <f>97.5-L10</f>
        <v>39.5</v>
      </c>
    </row>
    <row r="68" spans="1:8" x14ac:dyDescent="0.25">
      <c r="A68" s="21"/>
      <c r="B68" t="s">
        <v>25</v>
      </c>
      <c r="C68" s="2">
        <v>0.57199999999999995</v>
      </c>
      <c r="D68" s="6">
        <f>90.1-L10</f>
        <v>32.099999999999994</v>
      </c>
      <c r="E68" s="2">
        <v>14.047000000000001</v>
      </c>
      <c r="F68" s="6">
        <f>113.7-L10</f>
        <v>55.7</v>
      </c>
      <c r="G68" s="2">
        <v>26.065000000000001</v>
      </c>
      <c r="H68" s="6">
        <f>96.2-L10</f>
        <v>38.200000000000003</v>
      </c>
    </row>
    <row r="69" spans="1:8" x14ac:dyDescent="0.25">
      <c r="A69" s="21"/>
      <c r="B69" t="s">
        <v>26</v>
      </c>
      <c r="C69" s="2">
        <v>0.58299999999999996</v>
      </c>
      <c r="D69" s="6">
        <f>100.4-L10</f>
        <v>42.400000000000006</v>
      </c>
      <c r="E69" s="2">
        <v>14.151999999999999</v>
      </c>
      <c r="F69" s="6">
        <f>113.1-L10</f>
        <v>55.099999999999994</v>
      </c>
      <c r="G69" s="2">
        <v>26.850999999999999</v>
      </c>
      <c r="H69" s="6">
        <f>95.2-L10</f>
        <v>37.200000000000003</v>
      </c>
    </row>
    <row r="70" spans="1:8" x14ac:dyDescent="0.25">
      <c r="A70" s="21"/>
      <c r="B70" t="s">
        <v>27</v>
      </c>
      <c r="C70" s="2">
        <v>0.58699999999999997</v>
      </c>
      <c r="D70" s="6">
        <f>101.2-L10</f>
        <v>43.2</v>
      </c>
      <c r="E70" s="2">
        <v>14.047000000000001</v>
      </c>
      <c r="F70" s="6">
        <f>115.2-L10</f>
        <v>57.2</v>
      </c>
      <c r="G70" s="2">
        <v>25.814</v>
      </c>
      <c r="H70" s="6">
        <f>96.1-L10</f>
        <v>38.099999999999994</v>
      </c>
    </row>
    <row r="71" spans="1:8" x14ac:dyDescent="0.25">
      <c r="A71" s="21"/>
      <c r="B71" t="s">
        <v>28</v>
      </c>
      <c r="C71" s="2">
        <v>0.58699999999999997</v>
      </c>
      <c r="D71" s="6">
        <f>102.3-L10</f>
        <v>44.3</v>
      </c>
      <c r="E71" s="2">
        <v>14.053000000000001</v>
      </c>
      <c r="F71" s="6">
        <f>112.3-L10</f>
        <v>54.3</v>
      </c>
      <c r="G71" s="2">
        <v>25.294</v>
      </c>
      <c r="H71" s="6">
        <f>102.7-L10</f>
        <v>44.7</v>
      </c>
    </row>
    <row r="72" spans="1:8" x14ac:dyDescent="0.25">
      <c r="A72" s="21"/>
      <c r="B72" t="s">
        <v>29</v>
      </c>
      <c r="C72" s="2">
        <v>0.58399999999999996</v>
      </c>
      <c r="D72" s="6">
        <f>97.3-L10</f>
        <v>39.299999999999997</v>
      </c>
      <c r="E72" s="2">
        <v>14.061999999999999</v>
      </c>
      <c r="F72" s="6">
        <f>112.3-L10</f>
        <v>54.3</v>
      </c>
      <c r="G72" s="2">
        <v>25.846</v>
      </c>
      <c r="H72" s="6">
        <f>97.2-L10</f>
        <v>39.200000000000003</v>
      </c>
    </row>
    <row r="73" spans="1:8" ht="15.75" thickBot="1" x14ac:dyDescent="0.3">
      <c r="A73" s="21"/>
      <c r="B73" s="10" t="s">
        <v>30</v>
      </c>
      <c r="C73" s="3">
        <v>0.58199999999999996</v>
      </c>
      <c r="D73" s="7">
        <f>101.1-L10</f>
        <v>43.099999999999994</v>
      </c>
      <c r="E73" s="3">
        <v>14.125</v>
      </c>
      <c r="F73" s="7">
        <f>108.9-L10</f>
        <v>50.900000000000006</v>
      </c>
      <c r="G73" s="3">
        <v>25.66</v>
      </c>
      <c r="H73" s="7">
        <f>95.9-L10</f>
        <v>37.900000000000006</v>
      </c>
    </row>
    <row r="74" spans="1:8" ht="15.75" thickBot="1" x14ac:dyDescent="0.3">
      <c r="A74" s="22"/>
      <c r="B74" s="8" t="s">
        <v>20</v>
      </c>
      <c r="C74" s="1">
        <f t="shared" ref="C74:H74" si="4">AVERAGE(C64:C73)</f>
        <v>0.5845999999999999</v>
      </c>
      <c r="D74" s="13">
        <f t="shared" si="4"/>
        <v>41.339999999999996</v>
      </c>
      <c r="E74" s="12">
        <f t="shared" si="4"/>
        <v>14.087700000000002</v>
      </c>
      <c r="F74" s="13">
        <f t="shared" si="4"/>
        <v>53.570000000000007</v>
      </c>
      <c r="G74" s="12">
        <f t="shared" si="4"/>
        <v>25.875800000000005</v>
      </c>
      <c r="H74" s="13">
        <f t="shared" si="4"/>
        <v>40.209999999999994</v>
      </c>
    </row>
    <row r="75" spans="1:8" ht="15.75" thickBot="1" x14ac:dyDescent="0.3">
      <c r="A75" s="20" t="s">
        <v>31</v>
      </c>
      <c r="B75" s="9" t="s">
        <v>17</v>
      </c>
      <c r="C75" s="8" t="s">
        <v>3</v>
      </c>
      <c r="D75" s="8" t="s">
        <v>15</v>
      </c>
      <c r="E75" s="8" t="s">
        <v>3</v>
      </c>
      <c r="F75" s="8" t="s">
        <v>15</v>
      </c>
      <c r="G75" s="8" t="s">
        <v>3</v>
      </c>
      <c r="H75" s="8" t="s">
        <v>15</v>
      </c>
    </row>
    <row r="76" spans="1:8" x14ac:dyDescent="0.25">
      <c r="A76" s="21"/>
      <c r="B76" t="s">
        <v>21</v>
      </c>
      <c r="C76" s="2">
        <v>0.19500000000000001</v>
      </c>
      <c r="D76" s="5">
        <f>73.4-L10</f>
        <v>15.400000000000006</v>
      </c>
      <c r="E76" s="2">
        <v>17.588999999999999</v>
      </c>
      <c r="F76" s="5">
        <f>120.3-L10</f>
        <v>62.3</v>
      </c>
      <c r="G76" s="2">
        <v>38.594000000000001</v>
      </c>
      <c r="H76" s="5">
        <f>109.2-L10</f>
        <v>51.2</v>
      </c>
    </row>
    <row r="77" spans="1:8" x14ac:dyDescent="0.25">
      <c r="A77" s="21"/>
      <c r="B77" t="s">
        <v>22</v>
      </c>
      <c r="C77" s="2">
        <v>0.19700000000000001</v>
      </c>
      <c r="D77" s="6">
        <f>77.2-L10</f>
        <v>19.200000000000003</v>
      </c>
      <c r="E77" s="2">
        <v>17.193000000000001</v>
      </c>
      <c r="F77" s="6">
        <f>116.7-L10</f>
        <v>58.7</v>
      </c>
      <c r="G77" s="2">
        <v>24.814</v>
      </c>
      <c r="H77" s="6">
        <f>115.1-L10</f>
        <v>57.099999999999994</v>
      </c>
    </row>
    <row r="78" spans="1:8" x14ac:dyDescent="0.25">
      <c r="A78" s="21"/>
      <c r="B78" t="s">
        <v>23</v>
      </c>
      <c r="C78" s="2">
        <v>0.19400000000000001</v>
      </c>
      <c r="D78" s="6">
        <f>71-L10</f>
        <v>13</v>
      </c>
      <c r="E78" s="2">
        <v>17.146999999999998</v>
      </c>
      <c r="F78" s="6">
        <f>126.8-L10</f>
        <v>68.8</v>
      </c>
      <c r="G78" s="2">
        <v>24.978999999999999</v>
      </c>
      <c r="H78" s="6">
        <f>97.8-L10</f>
        <v>39.799999999999997</v>
      </c>
    </row>
    <row r="79" spans="1:8" x14ac:dyDescent="0.25">
      <c r="A79" s="21"/>
      <c r="B79" t="s">
        <v>24</v>
      </c>
      <c r="C79" s="2">
        <v>0.19500000000000001</v>
      </c>
      <c r="D79" s="6">
        <f>78.3-L10</f>
        <v>20.299999999999997</v>
      </c>
      <c r="E79" s="2">
        <v>17.334</v>
      </c>
      <c r="F79" s="6">
        <f>118.3-L10</f>
        <v>60.3</v>
      </c>
      <c r="G79" s="2">
        <v>24.962</v>
      </c>
      <c r="H79" s="6">
        <f>94-L10</f>
        <v>36</v>
      </c>
    </row>
    <row r="80" spans="1:8" x14ac:dyDescent="0.25">
      <c r="A80" s="21"/>
      <c r="B80" t="s">
        <v>25</v>
      </c>
      <c r="C80" s="2">
        <v>0.19900000000000001</v>
      </c>
      <c r="D80" s="6">
        <f>72.5-L10</f>
        <v>14.5</v>
      </c>
      <c r="E80" s="2">
        <v>17.395</v>
      </c>
      <c r="F80" s="6">
        <f>120.2-L10</f>
        <v>62.2</v>
      </c>
      <c r="G80" s="2">
        <v>25.407</v>
      </c>
      <c r="H80" s="6">
        <f>95.6-L10</f>
        <v>37.599999999999994</v>
      </c>
    </row>
    <row r="81" spans="1:8" x14ac:dyDescent="0.25">
      <c r="A81" s="21"/>
      <c r="B81" t="s">
        <v>26</v>
      </c>
      <c r="C81" s="2">
        <v>0.19700000000000001</v>
      </c>
      <c r="D81" s="6">
        <f>74.6-L10</f>
        <v>16.599999999999994</v>
      </c>
      <c r="E81" s="2">
        <v>17.291</v>
      </c>
      <c r="F81" s="6">
        <f>128.5-L10</f>
        <v>70.5</v>
      </c>
      <c r="G81" s="2">
        <v>25.222999999999999</v>
      </c>
      <c r="H81" s="6">
        <f>94.2-L10</f>
        <v>36.200000000000003</v>
      </c>
    </row>
    <row r="82" spans="1:8" x14ac:dyDescent="0.25">
      <c r="A82" s="21"/>
      <c r="B82" t="s">
        <v>27</v>
      </c>
      <c r="C82" s="2">
        <v>0.19700000000000001</v>
      </c>
      <c r="D82" s="6">
        <f>72.7-L10</f>
        <v>14.700000000000003</v>
      </c>
      <c r="E82" s="2">
        <v>17.263000000000002</v>
      </c>
      <c r="F82" s="6">
        <f>119.9-L10</f>
        <v>61.900000000000006</v>
      </c>
      <c r="G82" s="2">
        <v>25.225999999999999</v>
      </c>
      <c r="H82" s="6">
        <f>93.9-L10</f>
        <v>35.900000000000006</v>
      </c>
    </row>
    <row r="83" spans="1:8" x14ac:dyDescent="0.25">
      <c r="A83" s="21"/>
      <c r="B83" t="s">
        <v>28</v>
      </c>
      <c r="C83" s="2">
        <v>0.19800000000000001</v>
      </c>
      <c r="D83" s="6">
        <f>74.1-L10</f>
        <v>16.099999999999994</v>
      </c>
      <c r="E83" s="2">
        <v>17.321999999999999</v>
      </c>
      <c r="F83" s="6">
        <f>122.6-L10</f>
        <v>64.599999999999994</v>
      </c>
      <c r="G83" s="2">
        <v>24.625</v>
      </c>
      <c r="H83" s="6">
        <f>97.9-L10</f>
        <v>39.900000000000006</v>
      </c>
    </row>
    <row r="84" spans="1:8" x14ac:dyDescent="0.25">
      <c r="A84" s="21"/>
      <c r="B84" t="s">
        <v>29</v>
      </c>
      <c r="C84" s="2">
        <v>0.19500000000000001</v>
      </c>
      <c r="D84" s="6">
        <f>74.9-L10</f>
        <v>16.900000000000006</v>
      </c>
      <c r="E84" s="2">
        <v>16.768999999999998</v>
      </c>
      <c r="F84" s="6">
        <f>119-L10</f>
        <v>61</v>
      </c>
      <c r="G84" s="2">
        <v>25.053000000000001</v>
      </c>
      <c r="H84" s="6">
        <f>113.7-L10</f>
        <v>55.7</v>
      </c>
    </row>
    <row r="85" spans="1:8" ht="15.75" thickBot="1" x14ac:dyDescent="0.3">
      <c r="A85" s="21"/>
      <c r="B85" s="10" t="s">
        <v>30</v>
      </c>
      <c r="C85" s="3">
        <v>0.19800000000000001</v>
      </c>
      <c r="D85" s="7">
        <f>74.4-L10</f>
        <v>16.400000000000006</v>
      </c>
      <c r="E85" s="3">
        <v>17.097000000000001</v>
      </c>
      <c r="F85" s="7">
        <f>121-L10</f>
        <v>63</v>
      </c>
      <c r="G85" s="3">
        <v>24.827999999999999</v>
      </c>
      <c r="H85" s="7">
        <f>113.1-L10</f>
        <v>55.099999999999994</v>
      </c>
    </row>
    <row r="86" spans="1:8" ht="15.75" thickBot="1" x14ac:dyDescent="0.3">
      <c r="A86" s="22"/>
      <c r="B86" s="8" t="s">
        <v>20</v>
      </c>
      <c r="C86" s="1">
        <f>AVERAGE(C76:C85)</f>
        <v>0.19650000000000004</v>
      </c>
      <c r="D86" s="13">
        <f>AVERAGE(D76:D85)</f>
        <v>16.310000000000002</v>
      </c>
      <c r="E86" s="12">
        <f>AVERAGE(E76:E85)</f>
        <v>17.240000000000002</v>
      </c>
      <c r="F86" s="13">
        <f>AVERAGE(F76:F85)</f>
        <v>63.330000000000005</v>
      </c>
      <c r="G86" s="12">
        <f>AVERAGE(G76:G85)</f>
        <v>26.371099999999995</v>
      </c>
      <c r="H86" s="13">
        <f>AVERAGE(H76:H85)</f>
        <v>44.449999999999989</v>
      </c>
    </row>
    <row r="87" spans="1:8" ht="15.75" thickBot="1" x14ac:dyDescent="0.3">
      <c r="A87" s="20" t="s">
        <v>32</v>
      </c>
      <c r="B87" s="9" t="s">
        <v>17</v>
      </c>
      <c r="C87" s="8" t="s">
        <v>3</v>
      </c>
      <c r="D87" s="8" t="s">
        <v>15</v>
      </c>
      <c r="E87" s="8" t="s">
        <v>3</v>
      </c>
      <c r="F87" s="8" t="s">
        <v>15</v>
      </c>
      <c r="G87" s="8" t="s">
        <v>3</v>
      </c>
      <c r="H87" s="8" t="s">
        <v>15</v>
      </c>
    </row>
    <row r="88" spans="1:8" x14ac:dyDescent="0.25">
      <c r="A88" s="21"/>
      <c r="B88" t="s">
        <v>21</v>
      </c>
      <c r="C88" s="2"/>
      <c r="D88" s="5"/>
      <c r="E88" s="2"/>
      <c r="F88" s="5"/>
      <c r="G88" s="2"/>
      <c r="H88" s="5"/>
    </row>
    <row r="89" spans="1:8" x14ac:dyDescent="0.25">
      <c r="A89" s="21"/>
      <c r="B89" t="s">
        <v>22</v>
      </c>
      <c r="C89" s="2"/>
      <c r="D89" s="6"/>
      <c r="E89" s="2"/>
      <c r="F89" s="6"/>
      <c r="G89" s="2"/>
      <c r="H89" s="6"/>
    </row>
    <row r="90" spans="1:8" x14ac:dyDescent="0.25">
      <c r="A90" s="21"/>
      <c r="B90" t="s">
        <v>23</v>
      </c>
      <c r="C90" s="2"/>
      <c r="D90" s="6"/>
      <c r="E90" s="2"/>
      <c r="F90" s="6"/>
      <c r="G90" s="2"/>
      <c r="H90" s="6"/>
    </row>
    <row r="91" spans="1:8" x14ac:dyDescent="0.25">
      <c r="A91" s="21"/>
      <c r="B91" t="s">
        <v>24</v>
      </c>
      <c r="C91" s="2"/>
      <c r="D91" s="6"/>
      <c r="E91" s="2"/>
      <c r="F91" s="6"/>
      <c r="G91" s="2"/>
      <c r="H91" s="6"/>
    </row>
    <row r="92" spans="1:8" x14ac:dyDescent="0.25">
      <c r="A92" s="21"/>
      <c r="B92" t="s">
        <v>25</v>
      </c>
      <c r="C92" s="2"/>
      <c r="D92" s="6"/>
      <c r="E92" s="2"/>
      <c r="F92" s="6"/>
      <c r="G92" s="2"/>
      <c r="H92" s="6"/>
    </row>
    <row r="93" spans="1:8" x14ac:dyDescent="0.25">
      <c r="A93" s="21"/>
      <c r="B93" t="s">
        <v>26</v>
      </c>
      <c r="C93" s="2"/>
      <c r="D93" s="6"/>
      <c r="E93" s="2"/>
      <c r="F93" s="6"/>
      <c r="G93" s="2"/>
      <c r="H93" s="6"/>
    </row>
    <row r="94" spans="1:8" x14ac:dyDescent="0.25">
      <c r="A94" s="21"/>
      <c r="B94" t="s">
        <v>27</v>
      </c>
      <c r="C94" s="2"/>
      <c r="D94" s="6"/>
      <c r="E94" s="2"/>
      <c r="F94" s="6"/>
      <c r="G94" s="2"/>
      <c r="H94" s="6"/>
    </row>
    <row r="95" spans="1:8" x14ac:dyDescent="0.25">
      <c r="A95" s="21"/>
      <c r="B95" t="s">
        <v>28</v>
      </c>
      <c r="C95" s="2"/>
      <c r="D95" s="6"/>
      <c r="E95" s="2"/>
      <c r="F95" s="6"/>
      <c r="G95" s="2"/>
      <c r="H95" s="6"/>
    </row>
    <row r="96" spans="1:8" x14ac:dyDescent="0.25">
      <c r="A96" s="21"/>
      <c r="B96" t="s">
        <v>29</v>
      </c>
      <c r="C96" s="2"/>
      <c r="D96" s="6"/>
      <c r="E96" s="2"/>
      <c r="F96" s="6"/>
      <c r="G96" s="2"/>
      <c r="H96" s="6"/>
    </row>
    <row r="97" spans="1:8" ht="15.75" thickBot="1" x14ac:dyDescent="0.3">
      <c r="A97" s="21"/>
      <c r="B97" s="10" t="s">
        <v>30</v>
      </c>
      <c r="C97" s="3"/>
      <c r="D97" s="7"/>
      <c r="E97" s="3"/>
      <c r="F97" s="7"/>
      <c r="G97" s="3"/>
      <c r="H97" s="7"/>
    </row>
    <row r="98" spans="1:8" ht="15.75" thickBot="1" x14ac:dyDescent="0.3">
      <c r="A98" s="22"/>
      <c r="B98" s="8" t="s">
        <v>20</v>
      </c>
      <c r="C98" s="1"/>
      <c r="D98" s="13"/>
      <c r="E98" s="12"/>
      <c r="F98" s="13"/>
      <c r="G98" s="12"/>
      <c r="H98" s="13"/>
    </row>
  </sheetData>
  <mergeCells count="11">
    <mergeCell ref="A87:A98"/>
    <mergeCell ref="A27:A38"/>
    <mergeCell ref="A39:A50"/>
    <mergeCell ref="A51:A62"/>
    <mergeCell ref="A63:A74"/>
    <mergeCell ref="A75:A86"/>
    <mergeCell ref="E2:F2"/>
    <mergeCell ref="G2:H2"/>
    <mergeCell ref="C2:D2"/>
    <mergeCell ref="A3:A14"/>
    <mergeCell ref="A15:A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Monk</dc:creator>
  <cp:lastModifiedBy>Jackson Monk</cp:lastModifiedBy>
  <dcterms:created xsi:type="dcterms:W3CDTF">2015-06-05T18:17:20Z</dcterms:created>
  <dcterms:modified xsi:type="dcterms:W3CDTF">2025-11-18T06:54:42Z</dcterms:modified>
</cp:coreProperties>
</file>