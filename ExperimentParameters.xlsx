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monkj\CS630Project\CS630Project\"/>
    </mc:Choice>
  </mc:AlternateContent>
  <xr:revisionPtr revIDLastSave="0" documentId="13_ncr:1_{9B3AB65A-DFF9-4D83-80A8-901FCAE3ACB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4" i="1" l="1"/>
  <c r="H23" i="1"/>
  <c r="H22" i="1"/>
  <c r="H21" i="1"/>
  <c r="H20" i="1"/>
  <c r="H19" i="1"/>
  <c r="H18" i="1"/>
  <c r="H17" i="1"/>
  <c r="H16" i="1"/>
  <c r="H15" i="1"/>
  <c r="F24" i="1"/>
  <c r="F23" i="1"/>
  <c r="F22" i="1"/>
  <c r="F21" i="1"/>
  <c r="F20" i="1"/>
  <c r="F19" i="1"/>
  <c r="F18" i="1"/>
  <c r="F17" i="1"/>
  <c r="F16" i="1"/>
  <c r="F15" i="1"/>
  <c r="D24" i="1"/>
  <c r="D23" i="1"/>
  <c r="D22" i="1"/>
  <c r="D21" i="1"/>
  <c r="D20" i="1"/>
  <c r="D19" i="1"/>
  <c r="D18" i="1"/>
  <c r="D17" i="1"/>
  <c r="D16" i="1"/>
  <c r="D15" i="1"/>
  <c r="F37" i="1"/>
  <c r="H13" i="1"/>
  <c r="H12" i="1"/>
  <c r="H11" i="1"/>
  <c r="H10" i="1"/>
  <c r="H9" i="1"/>
  <c r="H8" i="1"/>
  <c r="H7" i="1"/>
  <c r="H6" i="1"/>
  <c r="H5" i="1"/>
  <c r="H4" i="1"/>
  <c r="F13" i="1"/>
  <c r="F12" i="1"/>
  <c r="F11" i="1"/>
  <c r="F10" i="1"/>
  <c r="F9" i="1"/>
  <c r="F8" i="1"/>
  <c r="F7" i="1"/>
  <c r="F6" i="1"/>
  <c r="F5" i="1"/>
  <c r="F4" i="1"/>
  <c r="D13" i="1"/>
  <c r="D12" i="1"/>
  <c r="D11" i="1"/>
  <c r="D10" i="1"/>
  <c r="D9" i="1"/>
  <c r="D8" i="1"/>
  <c r="D7" i="1"/>
  <c r="D6" i="1"/>
  <c r="D5" i="1"/>
  <c r="D4" i="1"/>
</calcChain>
</file>

<file path=xl/sharedStrings.xml><?xml version="1.0" encoding="utf-8"?>
<sst xmlns="http://schemas.openxmlformats.org/spreadsheetml/2006/main" count="119" uniqueCount="30">
  <si>
    <t>Languages</t>
  </si>
  <si>
    <t>Low Load</t>
  </si>
  <si>
    <t>C</t>
  </si>
  <si>
    <t>Trial 1:</t>
  </si>
  <si>
    <t>Trial 2:</t>
  </si>
  <si>
    <t>Trial 3:</t>
  </si>
  <si>
    <t>Trial 4:</t>
  </si>
  <si>
    <t>Trial 5:</t>
  </si>
  <si>
    <t>Trial 6:</t>
  </si>
  <si>
    <t>Trial 7:</t>
  </si>
  <si>
    <t>Trial 8:</t>
  </si>
  <si>
    <t>Trial 9:</t>
  </si>
  <si>
    <t>Trial 10:</t>
  </si>
  <si>
    <t>Run Time (secs):</t>
  </si>
  <si>
    <t>Experiment Trials</t>
  </si>
  <si>
    <t>Medium Load</t>
  </si>
  <si>
    <t>High Load</t>
  </si>
  <si>
    <t>Low Load Computation: Sum integers from 1 to n</t>
  </si>
  <si>
    <t>High Load Computation: Multiply 2 nxn matrices</t>
  </si>
  <si>
    <t>Java</t>
  </si>
  <si>
    <t>JavaScript</t>
  </si>
  <si>
    <t>Python</t>
  </si>
  <si>
    <t>C++</t>
  </si>
  <si>
    <t>Medium Load Computation: Sort n randomly generated numbers (quick sort)</t>
  </si>
  <si>
    <t>C#</t>
  </si>
  <si>
    <t>Base Power Draw:</t>
  </si>
  <si>
    <t>Energy Consumption (W)</t>
  </si>
  <si>
    <t>W</t>
  </si>
  <si>
    <t>Trials</t>
  </si>
  <si>
    <t>Energy Consumption metric based on max energy spike during program execution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</si>
</sst>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2" fillId="2" borderId="0" xfId="0" applyFont="1" applyFill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1" fillId="0" borderId="1" xfId="0" applyFont="1" applyBorder="1"/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3" borderId="6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0" fillId="5" borderId="5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68"/>
  <sheetViews>
    <sheetView tabSelected="1" topLeftCell="A6" workbookViewId="0">
      <selection activeCell="I21" sqref="I21"/>
    </sheetView>
  </sheetViews>
  <sheetFormatPr defaultRowHeight="15" x14ac:dyDescent="0.25"/>
  <cols>
    <col min="1" max="2" width="16.28515625" customWidth="1"/>
    <col min="3" max="3" width="18" customWidth="1"/>
    <col min="4" max="4" width="24.85546875" customWidth="1"/>
    <col min="5" max="5" width="19.140625" customWidth="1"/>
    <col min="6" max="6" width="24.85546875" customWidth="1"/>
    <col min="7" max="7" width="19.42578125" customWidth="1"/>
    <col min="8" max="8" width="25.5703125" customWidth="1"/>
    <col min="12" max="12" width="54.28515625" customWidth="1"/>
  </cols>
  <sheetData>
    <row r="1" spans="1:13" ht="15.75" thickBot="1" x14ac:dyDescent="0.3">
      <c r="A1" s="4" t="s">
        <v>14</v>
      </c>
      <c r="B1" s="4"/>
    </row>
    <row r="2" spans="1:13" ht="15.75" thickBot="1" x14ac:dyDescent="0.3">
      <c r="A2" s="1" t="s">
        <v>0</v>
      </c>
      <c r="B2" s="1"/>
      <c r="C2" s="13" t="s">
        <v>1</v>
      </c>
      <c r="D2" s="14"/>
      <c r="E2" s="15" t="s">
        <v>15</v>
      </c>
      <c r="F2" s="16"/>
      <c r="G2" s="17" t="s">
        <v>16</v>
      </c>
      <c r="H2" s="18"/>
      <c r="L2" t="s">
        <v>17</v>
      </c>
    </row>
    <row r="3" spans="1:13" ht="15.75" thickBot="1" x14ac:dyDescent="0.3">
      <c r="A3" s="9" t="s">
        <v>2</v>
      </c>
      <c r="B3" s="12" t="s">
        <v>28</v>
      </c>
      <c r="C3" s="8" t="s">
        <v>13</v>
      </c>
      <c r="D3" s="8" t="s">
        <v>26</v>
      </c>
      <c r="E3" s="8" t="s">
        <v>13</v>
      </c>
      <c r="F3" s="8" t="s">
        <v>26</v>
      </c>
      <c r="G3" s="8" t="s">
        <v>13</v>
      </c>
      <c r="H3" s="8" t="s">
        <v>26</v>
      </c>
    </row>
    <row r="4" spans="1:13" x14ac:dyDescent="0.25">
      <c r="A4" s="10"/>
      <c r="B4" s="2" t="s">
        <v>3</v>
      </c>
      <c r="C4" s="2">
        <v>1.4410000000000001</v>
      </c>
      <c r="D4" s="5">
        <f>86.4-L10</f>
        <v>28.400000000000006</v>
      </c>
      <c r="E4" s="2">
        <v>7.8659999999999997</v>
      </c>
      <c r="F4" s="5">
        <f>100.1-L10</f>
        <v>42.099999999999994</v>
      </c>
      <c r="G4" s="2">
        <v>16.331</v>
      </c>
      <c r="H4" s="5">
        <f>114-L10</f>
        <v>56</v>
      </c>
      <c r="L4" t="s">
        <v>23</v>
      </c>
    </row>
    <row r="5" spans="1:13" x14ac:dyDescent="0.25">
      <c r="A5" s="10"/>
      <c r="B5" s="2" t="s">
        <v>4</v>
      </c>
      <c r="C5" s="2">
        <v>1.4410000000000001</v>
      </c>
      <c r="D5" s="6">
        <f>85.5-L10</f>
        <v>27.5</v>
      </c>
      <c r="E5" s="2">
        <v>7.9009999999999998</v>
      </c>
      <c r="F5" s="6">
        <f>102.3-L10</f>
        <v>44.3</v>
      </c>
      <c r="G5" s="2">
        <v>16.399000000000001</v>
      </c>
      <c r="H5" s="6">
        <f>98.3-L10</f>
        <v>40.299999999999997</v>
      </c>
    </row>
    <row r="6" spans="1:13" x14ac:dyDescent="0.25">
      <c r="A6" s="10"/>
      <c r="B6" s="2" t="s">
        <v>5</v>
      </c>
      <c r="C6" s="2">
        <v>1.4339999999999999</v>
      </c>
      <c r="D6" s="6">
        <f>85.1-L10</f>
        <v>27.099999999999994</v>
      </c>
      <c r="E6" s="2">
        <v>7.851</v>
      </c>
      <c r="F6" s="6">
        <f>103.1-L10</f>
        <v>45.099999999999994</v>
      </c>
      <c r="G6" s="2">
        <v>16.114999999999998</v>
      </c>
      <c r="H6" s="6">
        <f>96.1-L10</f>
        <v>38.099999999999994</v>
      </c>
      <c r="L6" t="s">
        <v>18</v>
      </c>
    </row>
    <row r="7" spans="1:13" x14ac:dyDescent="0.25">
      <c r="A7" s="10"/>
      <c r="B7" s="2" t="s">
        <v>6</v>
      </c>
      <c r="C7" s="2">
        <v>1.4410000000000001</v>
      </c>
      <c r="D7" s="6">
        <f>86.9-L10</f>
        <v>28.900000000000006</v>
      </c>
      <c r="E7" s="2">
        <v>7.8810000000000002</v>
      </c>
      <c r="F7" s="6">
        <f>100.5-L10</f>
        <v>42.5</v>
      </c>
      <c r="G7" s="2">
        <v>15.4</v>
      </c>
      <c r="H7" s="6">
        <f>96.2-L10</f>
        <v>38.200000000000003</v>
      </c>
    </row>
    <row r="8" spans="1:13" x14ac:dyDescent="0.25">
      <c r="A8" s="10"/>
      <c r="B8" s="2" t="s">
        <v>7</v>
      </c>
      <c r="C8" s="2">
        <v>1.4359999999999999</v>
      </c>
      <c r="D8" s="6">
        <f>86.5-L10</f>
        <v>28.5</v>
      </c>
      <c r="E8" s="2">
        <v>7.9630000000000001</v>
      </c>
      <c r="F8" s="6">
        <f>98.4-L10</f>
        <v>40.400000000000006</v>
      </c>
      <c r="G8" s="2">
        <v>15.377000000000001</v>
      </c>
      <c r="H8" s="6">
        <f>95.7-L10</f>
        <v>37.700000000000003</v>
      </c>
    </row>
    <row r="9" spans="1:13" x14ac:dyDescent="0.25">
      <c r="A9" s="10"/>
      <c r="B9" s="2" t="s">
        <v>8</v>
      </c>
      <c r="C9" s="2">
        <v>1.4510000000000001</v>
      </c>
      <c r="D9" s="6">
        <f>89.3-L10</f>
        <v>31.299999999999997</v>
      </c>
      <c r="E9" s="2">
        <v>7.85</v>
      </c>
      <c r="F9" s="6">
        <f>100.6-L10</f>
        <v>42.599999999999994</v>
      </c>
      <c r="G9" s="2">
        <v>15.115</v>
      </c>
      <c r="H9" s="6">
        <f>97.7-L10</f>
        <v>39.700000000000003</v>
      </c>
      <c r="L9" t="s">
        <v>25</v>
      </c>
    </row>
    <row r="10" spans="1:13" x14ac:dyDescent="0.25">
      <c r="A10" s="10"/>
      <c r="B10" s="2" t="s">
        <v>9</v>
      </c>
      <c r="C10" s="2">
        <v>1.4279999999999999</v>
      </c>
      <c r="D10" s="6">
        <f>86.2-L10</f>
        <v>28.200000000000003</v>
      </c>
      <c r="E10" s="2">
        <v>7.9059999999999997</v>
      </c>
      <c r="F10" s="6">
        <f>101.2-L10</f>
        <v>43.2</v>
      </c>
      <c r="G10" s="2">
        <v>15.198</v>
      </c>
      <c r="H10" s="6">
        <f>113.2-L10</f>
        <v>55.2</v>
      </c>
      <c r="L10">
        <v>58</v>
      </c>
      <c r="M10" t="s">
        <v>27</v>
      </c>
    </row>
    <row r="11" spans="1:13" x14ac:dyDescent="0.25">
      <c r="A11" s="10"/>
      <c r="B11" s="2" t="s">
        <v>10</v>
      </c>
      <c r="C11" s="2">
        <v>1.4419999999999999</v>
      </c>
      <c r="D11" s="6">
        <f>86.1-L10</f>
        <v>28.099999999999994</v>
      </c>
      <c r="E11" s="2">
        <v>7.843</v>
      </c>
      <c r="F11" s="6">
        <f>101-L10</f>
        <v>43</v>
      </c>
      <c r="G11" s="2">
        <v>14.914</v>
      </c>
      <c r="H11" s="6">
        <f>97.2-L10</f>
        <v>39.200000000000003</v>
      </c>
      <c r="L11" t="s">
        <v>29</v>
      </c>
    </row>
    <row r="12" spans="1:13" x14ac:dyDescent="0.25">
      <c r="A12" s="10"/>
      <c r="B12" s="2" t="s">
        <v>11</v>
      </c>
      <c r="C12" s="2">
        <v>1.4350000000000001</v>
      </c>
      <c r="D12" s="6">
        <f>86.7-L10</f>
        <v>28.700000000000003</v>
      </c>
      <c r="E12" s="2">
        <v>7.9020000000000001</v>
      </c>
      <c r="F12" s="6">
        <f>107.1-L10</f>
        <v>49.099999999999994</v>
      </c>
      <c r="G12" s="2">
        <v>15.242000000000001</v>
      </c>
      <c r="H12" s="6">
        <f>98-L10</f>
        <v>40</v>
      </c>
    </row>
    <row r="13" spans="1:13" ht="15.75" thickBot="1" x14ac:dyDescent="0.3">
      <c r="A13" s="11"/>
      <c r="B13" s="3" t="s">
        <v>12</v>
      </c>
      <c r="C13" s="3">
        <v>1.4339999999999999</v>
      </c>
      <c r="D13" s="7">
        <f>83.8-L10</f>
        <v>25.799999999999997</v>
      </c>
      <c r="E13" s="3">
        <v>7.92</v>
      </c>
      <c r="F13" s="7">
        <f>98-L10</f>
        <v>40</v>
      </c>
      <c r="G13" s="3">
        <v>15.268000000000001</v>
      </c>
      <c r="H13" s="7">
        <f>97.7-L10</f>
        <v>39.700000000000003</v>
      </c>
    </row>
    <row r="14" spans="1:13" ht="15.75" thickBot="1" x14ac:dyDescent="0.3">
      <c r="A14" s="9" t="s">
        <v>19</v>
      </c>
      <c r="B14" s="12" t="s">
        <v>28</v>
      </c>
      <c r="C14" s="8" t="s">
        <v>13</v>
      </c>
      <c r="D14" s="8" t="s">
        <v>26</v>
      </c>
      <c r="E14" s="8" t="s">
        <v>13</v>
      </c>
      <c r="F14" s="8" t="s">
        <v>26</v>
      </c>
      <c r="G14" s="8" t="s">
        <v>13</v>
      </c>
      <c r="H14" s="8" t="s">
        <v>26</v>
      </c>
    </row>
    <row r="15" spans="1:13" x14ac:dyDescent="0.25">
      <c r="A15" s="10"/>
      <c r="B15" s="2" t="s">
        <v>3</v>
      </c>
      <c r="C15" s="2">
        <v>0.21199999999999999</v>
      </c>
      <c r="D15" s="5">
        <f>84.3-L10</f>
        <v>26.299999999999997</v>
      </c>
      <c r="E15" s="2">
        <v>2.4340000000000002</v>
      </c>
      <c r="F15" s="5">
        <f>101.5-L10</f>
        <v>43.5</v>
      </c>
      <c r="G15" s="2">
        <v>34.027999999999999</v>
      </c>
      <c r="H15" s="5">
        <f>91.3-L10</f>
        <v>33.299999999999997</v>
      </c>
    </row>
    <row r="16" spans="1:13" x14ac:dyDescent="0.25">
      <c r="A16" s="10"/>
      <c r="B16" s="2" t="s">
        <v>4</v>
      </c>
      <c r="C16" s="2">
        <v>0.20699999999999999</v>
      </c>
      <c r="D16" s="6">
        <f>87.9-L10</f>
        <v>29.900000000000006</v>
      </c>
      <c r="E16" s="2">
        <v>2.4049999999999998</v>
      </c>
      <c r="F16" s="6">
        <f>100.4-L10</f>
        <v>42.400000000000006</v>
      </c>
      <c r="G16" s="2">
        <v>32.554000000000002</v>
      </c>
      <c r="H16" s="6">
        <f>110.3-L10</f>
        <v>52.3</v>
      </c>
    </row>
    <row r="17" spans="1:8" x14ac:dyDescent="0.25">
      <c r="A17" s="10"/>
      <c r="B17" s="2" t="s">
        <v>5</v>
      </c>
      <c r="C17" s="2">
        <v>0.20599999999999999</v>
      </c>
      <c r="D17" s="6">
        <f>73.8-L10</f>
        <v>15.799999999999997</v>
      </c>
      <c r="E17" s="2">
        <v>2.0270000000000001</v>
      </c>
      <c r="F17" s="6">
        <f>101.5-L10</f>
        <v>43.5</v>
      </c>
      <c r="G17" s="2">
        <v>33.338000000000001</v>
      </c>
      <c r="H17" s="6">
        <f>109.7-L10</f>
        <v>51.7</v>
      </c>
    </row>
    <row r="18" spans="1:8" x14ac:dyDescent="0.25">
      <c r="A18" s="10"/>
      <c r="B18" s="2" t="s">
        <v>6</v>
      </c>
      <c r="C18" s="2">
        <v>0.214</v>
      </c>
      <c r="D18" s="6">
        <f>85.3-L10</f>
        <v>27.299999999999997</v>
      </c>
      <c r="E18" s="2">
        <v>3.202</v>
      </c>
      <c r="F18" s="6">
        <f>102.5-L10</f>
        <v>44.5</v>
      </c>
      <c r="G18" s="2">
        <v>32.970999999999997</v>
      </c>
      <c r="H18" s="6">
        <f>92-L10</f>
        <v>34</v>
      </c>
    </row>
    <row r="19" spans="1:8" x14ac:dyDescent="0.25">
      <c r="A19" s="10"/>
      <c r="B19" s="2" t="s">
        <v>7</v>
      </c>
      <c r="C19" s="2">
        <v>0.21099999999999999</v>
      </c>
      <c r="D19" s="6">
        <f>85.5-L10</f>
        <v>27.5</v>
      </c>
      <c r="E19" s="2">
        <v>2.1480000000000001</v>
      </c>
      <c r="F19" s="6">
        <f>100.7-L10</f>
        <v>42.7</v>
      </c>
      <c r="G19" s="2">
        <v>33.603999999999999</v>
      </c>
      <c r="H19" s="6">
        <f>91.9-L10</f>
        <v>33.900000000000006</v>
      </c>
    </row>
    <row r="20" spans="1:8" x14ac:dyDescent="0.25">
      <c r="A20" s="10"/>
      <c r="B20" s="2" t="s">
        <v>8</v>
      </c>
      <c r="C20" s="2">
        <v>0.20499999999999999</v>
      </c>
      <c r="D20" s="6">
        <f>80.4-L10</f>
        <v>22.400000000000006</v>
      </c>
      <c r="E20" s="2">
        <v>2.024</v>
      </c>
      <c r="F20" s="6">
        <f>101.6-L10</f>
        <v>43.599999999999994</v>
      </c>
      <c r="G20" s="2">
        <v>33.329000000000001</v>
      </c>
      <c r="H20" s="6">
        <f>109.8-L10</f>
        <v>51.8</v>
      </c>
    </row>
    <row r="21" spans="1:8" x14ac:dyDescent="0.25">
      <c r="A21" s="10"/>
      <c r="B21" s="2" t="s">
        <v>9</v>
      </c>
      <c r="C21" s="2">
        <v>0.21199999999999999</v>
      </c>
      <c r="D21" s="6">
        <f>82.5-L10</f>
        <v>24.5</v>
      </c>
      <c r="E21" s="2">
        <v>2.653</v>
      </c>
      <c r="F21" s="6">
        <f>101.3-L10</f>
        <v>43.3</v>
      </c>
      <c r="G21" s="2">
        <v>33.363</v>
      </c>
      <c r="H21" s="6">
        <f>93-L10</f>
        <v>35</v>
      </c>
    </row>
    <row r="22" spans="1:8" x14ac:dyDescent="0.25">
      <c r="A22" s="10"/>
      <c r="B22" s="2" t="s">
        <v>10</v>
      </c>
      <c r="C22" s="2">
        <v>0.20699999999999999</v>
      </c>
      <c r="D22" s="6">
        <f>79.9-L10</f>
        <v>21.900000000000006</v>
      </c>
      <c r="E22" s="2">
        <v>2.0310000000000001</v>
      </c>
      <c r="F22" s="6">
        <f>101.4-L10</f>
        <v>43.400000000000006</v>
      </c>
      <c r="G22" s="2">
        <v>34.213000000000001</v>
      </c>
      <c r="H22" s="6">
        <f>110.5-L10</f>
        <v>52.5</v>
      </c>
    </row>
    <row r="23" spans="1:8" x14ac:dyDescent="0.25">
      <c r="A23" s="10"/>
      <c r="B23" s="2" t="s">
        <v>11</v>
      </c>
      <c r="C23" s="2">
        <v>0.20499999999999999</v>
      </c>
      <c r="D23" s="6">
        <f>75.9-L10</f>
        <v>17.900000000000006</v>
      </c>
      <c r="E23" s="2">
        <v>3.09</v>
      </c>
      <c r="F23" s="6">
        <f>101.9-L10</f>
        <v>43.900000000000006</v>
      </c>
      <c r="G23" s="2">
        <v>33.953000000000003</v>
      </c>
      <c r="H23" s="6">
        <f>96.3-L10</f>
        <v>38.299999999999997</v>
      </c>
    </row>
    <row r="24" spans="1:8" ht="15.75" thickBot="1" x14ac:dyDescent="0.3">
      <c r="A24" s="11"/>
      <c r="B24" s="3" t="s">
        <v>12</v>
      </c>
      <c r="C24" s="3">
        <v>0.20599999999999999</v>
      </c>
      <c r="D24" s="7">
        <f>84.8-L10</f>
        <v>26.799999999999997</v>
      </c>
      <c r="E24" s="3">
        <v>2.0329999999999999</v>
      </c>
      <c r="F24" s="7">
        <f>100.1-L10</f>
        <v>42.099999999999994</v>
      </c>
      <c r="G24" s="3">
        <v>33.481999999999999</v>
      </c>
      <c r="H24" s="7">
        <f>110.3-L10</f>
        <v>52.3</v>
      </c>
    </row>
    <row r="25" spans="1:8" ht="15.75" thickBot="1" x14ac:dyDescent="0.3">
      <c r="A25" s="9" t="s">
        <v>20</v>
      </c>
      <c r="B25" s="12" t="s">
        <v>28</v>
      </c>
      <c r="C25" s="8" t="s">
        <v>13</v>
      </c>
      <c r="D25" s="8" t="s">
        <v>26</v>
      </c>
      <c r="E25" s="8" t="s">
        <v>13</v>
      </c>
      <c r="F25" s="8" t="s">
        <v>26</v>
      </c>
      <c r="G25" s="8" t="s">
        <v>13</v>
      </c>
      <c r="H25" s="8" t="s">
        <v>26</v>
      </c>
    </row>
    <row r="26" spans="1:8" x14ac:dyDescent="0.25">
      <c r="A26" s="10"/>
      <c r="B26" s="2" t="s">
        <v>3</v>
      </c>
      <c r="C26" s="2"/>
      <c r="D26" s="5"/>
      <c r="E26" s="2"/>
      <c r="F26" s="5"/>
      <c r="G26" s="2"/>
      <c r="H26" s="5"/>
    </row>
    <row r="27" spans="1:8" x14ac:dyDescent="0.25">
      <c r="A27" s="10"/>
      <c r="B27" s="2" t="s">
        <v>4</v>
      </c>
      <c r="C27" s="2"/>
      <c r="D27" s="6"/>
      <c r="E27" s="2"/>
      <c r="F27" s="6"/>
      <c r="G27" s="2"/>
      <c r="H27" s="6"/>
    </row>
    <row r="28" spans="1:8" x14ac:dyDescent="0.25">
      <c r="A28" s="10"/>
      <c r="B28" s="2" t="s">
        <v>5</v>
      </c>
      <c r="C28" s="2"/>
      <c r="D28" s="6"/>
      <c r="E28" s="2"/>
      <c r="F28" s="6"/>
      <c r="G28" s="2"/>
      <c r="H28" s="6"/>
    </row>
    <row r="29" spans="1:8" x14ac:dyDescent="0.25">
      <c r="A29" s="10"/>
      <c r="B29" s="2" t="s">
        <v>6</v>
      </c>
      <c r="C29" s="2"/>
      <c r="D29" s="6"/>
      <c r="E29" s="2"/>
      <c r="F29" s="6"/>
      <c r="G29" s="2"/>
      <c r="H29" s="6"/>
    </row>
    <row r="30" spans="1:8" x14ac:dyDescent="0.25">
      <c r="A30" s="10"/>
      <c r="B30" s="2" t="s">
        <v>7</v>
      </c>
      <c r="C30" s="2"/>
      <c r="D30" s="6"/>
      <c r="E30" s="2"/>
      <c r="F30" s="6"/>
      <c r="G30" s="2"/>
      <c r="H30" s="6"/>
    </row>
    <row r="31" spans="1:8" x14ac:dyDescent="0.25">
      <c r="A31" s="10"/>
      <c r="B31" s="2" t="s">
        <v>8</v>
      </c>
      <c r="C31" s="2"/>
      <c r="D31" s="6"/>
      <c r="E31" s="2"/>
      <c r="F31" s="6"/>
      <c r="G31" s="2"/>
      <c r="H31" s="6"/>
    </row>
    <row r="32" spans="1:8" x14ac:dyDescent="0.25">
      <c r="A32" s="10"/>
      <c r="B32" s="2" t="s">
        <v>9</v>
      </c>
      <c r="C32" s="2"/>
      <c r="D32" s="6"/>
      <c r="E32" s="2"/>
      <c r="F32" s="6"/>
      <c r="G32" s="2"/>
      <c r="H32" s="6"/>
    </row>
    <row r="33" spans="1:8" x14ac:dyDescent="0.25">
      <c r="A33" s="10"/>
      <c r="B33" s="2" t="s">
        <v>10</v>
      </c>
      <c r="C33" s="2"/>
      <c r="D33" s="6"/>
      <c r="E33" s="2"/>
      <c r="F33" s="6"/>
      <c r="G33" s="2"/>
      <c r="H33" s="6"/>
    </row>
    <row r="34" spans="1:8" x14ac:dyDescent="0.25">
      <c r="A34" s="10"/>
      <c r="B34" s="2" t="s">
        <v>11</v>
      </c>
      <c r="C34" s="2"/>
      <c r="D34" s="6"/>
      <c r="E34" s="2"/>
      <c r="F34" s="6"/>
      <c r="G34" s="2"/>
      <c r="H34" s="6"/>
    </row>
    <row r="35" spans="1:8" ht="15.75" thickBot="1" x14ac:dyDescent="0.3">
      <c r="A35" s="11"/>
      <c r="B35" s="3" t="s">
        <v>12</v>
      </c>
      <c r="C35" s="3"/>
      <c r="D35" s="7"/>
      <c r="E35" s="3"/>
      <c r="F35" s="7"/>
      <c r="G35" s="3"/>
      <c r="H35" s="7"/>
    </row>
    <row r="36" spans="1:8" ht="15.75" thickBot="1" x14ac:dyDescent="0.3">
      <c r="A36" s="9" t="s">
        <v>21</v>
      </c>
      <c r="B36" s="12" t="s">
        <v>28</v>
      </c>
      <c r="C36" s="8" t="s">
        <v>13</v>
      </c>
      <c r="D36" s="8" t="s">
        <v>26</v>
      </c>
      <c r="E36" s="8" t="s">
        <v>13</v>
      </c>
      <c r="F36" s="8" t="s">
        <v>26</v>
      </c>
      <c r="G36" s="8" t="s">
        <v>13</v>
      </c>
      <c r="H36" s="8" t="s">
        <v>26</v>
      </c>
    </row>
    <row r="37" spans="1:8" x14ac:dyDescent="0.25">
      <c r="A37" s="10"/>
      <c r="B37" s="2" t="s">
        <v>3</v>
      </c>
      <c r="C37" s="2"/>
      <c r="D37" s="5"/>
      <c r="E37" s="2">
        <v>391.25</v>
      </c>
      <c r="F37" s="5">
        <f>124.8-L10</f>
        <v>66.8</v>
      </c>
      <c r="G37" s="2"/>
      <c r="H37" s="5"/>
    </row>
    <row r="38" spans="1:8" x14ac:dyDescent="0.25">
      <c r="A38" s="10"/>
      <c r="B38" s="2" t="s">
        <v>4</v>
      </c>
      <c r="C38" s="2"/>
      <c r="D38" s="6"/>
      <c r="E38" s="2"/>
      <c r="F38" s="6"/>
      <c r="G38" s="2"/>
      <c r="H38" s="6"/>
    </row>
    <row r="39" spans="1:8" x14ac:dyDescent="0.25">
      <c r="A39" s="10"/>
      <c r="B39" s="2" t="s">
        <v>5</v>
      </c>
      <c r="C39" s="2"/>
      <c r="D39" s="6"/>
      <c r="E39" s="2"/>
      <c r="F39" s="6"/>
      <c r="G39" s="2"/>
      <c r="H39" s="6"/>
    </row>
    <row r="40" spans="1:8" x14ac:dyDescent="0.25">
      <c r="A40" s="10"/>
      <c r="B40" s="2" t="s">
        <v>6</v>
      </c>
      <c r="C40" s="2"/>
      <c r="D40" s="6"/>
      <c r="E40" s="2"/>
      <c r="F40" s="6"/>
      <c r="G40" s="2"/>
      <c r="H40" s="6"/>
    </row>
    <row r="41" spans="1:8" x14ac:dyDescent="0.25">
      <c r="A41" s="10"/>
      <c r="B41" s="2" t="s">
        <v>7</v>
      </c>
      <c r="C41" s="2"/>
      <c r="D41" s="6"/>
      <c r="E41" s="2"/>
      <c r="F41" s="6"/>
      <c r="G41" s="2"/>
      <c r="H41" s="6"/>
    </row>
    <row r="42" spans="1:8" x14ac:dyDescent="0.25">
      <c r="A42" s="10"/>
      <c r="B42" s="2" t="s">
        <v>8</v>
      </c>
      <c r="C42" s="2"/>
      <c r="D42" s="6"/>
      <c r="E42" s="2"/>
      <c r="F42" s="6"/>
      <c r="G42" s="2"/>
      <c r="H42" s="6"/>
    </row>
    <row r="43" spans="1:8" x14ac:dyDescent="0.25">
      <c r="A43" s="10"/>
      <c r="B43" s="2" t="s">
        <v>9</v>
      </c>
      <c r="C43" s="2"/>
      <c r="D43" s="6"/>
      <c r="E43" s="2"/>
      <c r="F43" s="6"/>
      <c r="G43" s="2"/>
      <c r="H43" s="6"/>
    </row>
    <row r="44" spans="1:8" x14ac:dyDescent="0.25">
      <c r="A44" s="10"/>
      <c r="B44" s="2" t="s">
        <v>10</v>
      </c>
      <c r="C44" s="2"/>
      <c r="D44" s="6"/>
      <c r="E44" s="2"/>
      <c r="F44" s="6"/>
      <c r="G44" s="2"/>
      <c r="H44" s="6"/>
    </row>
    <row r="45" spans="1:8" x14ac:dyDescent="0.25">
      <c r="A45" s="10"/>
      <c r="B45" s="2" t="s">
        <v>11</v>
      </c>
      <c r="C45" s="2"/>
      <c r="D45" s="6"/>
      <c r="E45" s="2"/>
      <c r="F45" s="6"/>
      <c r="G45" s="2"/>
      <c r="H45" s="6"/>
    </row>
    <row r="46" spans="1:8" ht="15.75" thickBot="1" x14ac:dyDescent="0.3">
      <c r="A46" s="11"/>
      <c r="B46" s="3" t="s">
        <v>12</v>
      </c>
      <c r="C46" s="3"/>
      <c r="D46" s="7"/>
      <c r="E46" s="3"/>
      <c r="F46" s="7"/>
      <c r="G46" s="3"/>
      <c r="H46" s="7"/>
    </row>
    <row r="47" spans="1:8" ht="15.75" thickBot="1" x14ac:dyDescent="0.3">
      <c r="A47" s="9" t="s">
        <v>22</v>
      </c>
      <c r="B47" s="12" t="s">
        <v>28</v>
      </c>
      <c r="C47" s="8" t="s">
        <v>13</v>
      </c>
      <c r="D47" s="8" t="s">
        <v>26</v>
      </c>
      <c r="E47" s="8" t="s">
        <v>13</v>
      </c>
      <c r="F47" s="8" t="s">
        <v>26</v>
      </c>
      <c r="G47" s="8" t="s">
        <v>13</v>
      </c>
      <c r="H47" s="8" t="s">
        <v>26</v>
      </c>
    </row>
    <row r="48" spans="1:8" x14ac:dyDescent="0.25">
      <c r="A48" s="10"/>
      <c r="B48" s="2" t="s">
        <v>3</v>
      </c>
      <c r="C48" s="2"/>
      <c r="D48" s="5"/>
      <c r="E48" s="2"/>
      <c r="F48" s="5"/>
      <c r="G48" s="2"/>
      <c r="H48" s="5"/>
    </row>
    <row r="49" spans="1:8" x14ac:dyDescent="0.25">
      <c r="A49" s="10"/>
      <c r="B49" s="2" t="s">
        <v>4</v>
      </c>
      <c r="C49" s="2"/>
      <c r="D49" s="6"/>
      <c r="E49" s="2"/>
      <c r="F49" s="6"/>
      <c r="G49" s="2"/>
      <c r="H49" s="6"/>
    </row>
    <row r="50" spans="1:8" x14ac:dyDescent="0.25">
      <c r="A50" s="10"/>
      <c r="B50" s="2" t="s">
        <v>5</v>
      </c>
      <c r="C50" s="2"/>
      <c r="D50" s="6"/>
      <c r="E50" s="2"/>
      <c r="F50" s="6"/>
      <c r="G50" s="2"/>
      <c r="H50" s="6"/>
    </row>
    <row r="51" spans="1:8" x14ac:dyDescent="0.25">
      <c r="A51" s="10"/>
      <c r="B51" s="2" t="s">
        <v>6</v>
      </c>
      <c r="C51" s="2"/>
      <c r="D51" s="6"/>
      <c r="E51" s="2"/>
      <c r="F51" s="6"/>
      <c r="G51" s="2"/>
      <c r="H51" s="6"/>
    </row>
    <row r="52" spans="1:8" x14ac:dyDescent="0.25">
      <c r="A52" s="10"/>
      <c r="B52" s="2" t="s">
        <v>7</v>
      </c>
      <c r="C52" s="2"/>
      <c r="D52" s="6"/>
      <c r="E52" s="2"/>
      <c r="F52" s="6"/>
      <c r="G52" s="2"/>
      <c r="H52" s="6"/>
    </row>
    <row r="53" spans="1:8" x14ac:dyDescent="0.25">
      <c r="A53" s="10"/>
      <c r="B53" s="2" t="s">
        <v>8</v>
      </c>
      <c r="C53" s="2"/>
      <c r="D53" s="6"/>
      <c r="E53" s="2"/>
      <c r="F53" s="6"/>
      <c r="G53" s="2"/>
      <c r="H53" s="6"/>
    </row>
    <row r="54" spans="1:8" x14ac:dyDescent="0.25">
      <c r="A54" s="10"/>
      <c r="B54" s="2" t="s">
        <v>9</v>
      </c>
      <c r="C54" s="2"/>
      <c r="D54" s="6"/>
      <c r="E54" s="2"/>
      <c r="F54" s="6"/>
      <c r="G54" s="2"/>
      <c r="H54" s="6"/>
    </row>
    <row r="55" spans="1:8" x14ac:dyDescent="0.25">
      <c r="A55" s="10"/>
      <c r="B55" s="2" t="s">
        <v>10</v>
      </c>
      <c r="C55" s="2"/>
      <c r="D55" s="6"/>
      <c r="E55" s="2"/>
      <c r="F55" s="6"/>
      <c r="G55" s="2"/>
      <c r="H55" s="6"/>
    </row>
    <row r="56" spans="1:8" x14ac:dyDescent="0.25">
      <c r="A56" s="10"/>
      <c r="B56" s="2" t="s">
        <v>11</v>
      </c>
      <c r="C56" s="2"/>
      <c r="D56" s="6"/>
      <c r="E56" s="2"/>
      <c r="F56" s="6"/>
      <c r="G56" s="2"/>
      <c r="H56" s="6"/>
    </row>
    <row r="57" spans="1:8" ht="15.75" thickBot="1" x14ac:dyDescent="0.3">
      <c r="A57" s="11"/>
      <c r="B57" s="3" t="s">
        <v>12</v>
      </c>
      <c r="C57" s="3"/>
      <c r="D57" s="7"/>
      <c r="E57" s="3"/>
      <c r="F57" s="7"/>
      <c r="G57" s="3"/>
      <c r="H57" s="7"/>
    </row>
    <row r="58" spans="1:8" ht="15.75" thickBot="1" x14ac:dyDescent="0.3">
      <c r="A58" s="9" t="s">
        <v>24</v>
      </c>
      <c r="B58" s="12" t="s">
        <v>28</v>
      </c>
      <c r="C58" s="8" t="s">
        <v>13</v>
      </c>
      <c r="D58" s="8" t="s">
        <v>26</v>
      </c>
      <c r="E58" s="8" t="s">
        <v>13</v>
      </c>
      <c r="F58" s="8" t="s">
        <v>26</v>
      </c>
      <c r="G58" s="8" t="s">
        <v>13</v>
      </c>
      <c r="H58" s="8" t="s">
        <v>26</v>
      </c>
    </row>
    <row r="59" spans="1:8" x14ac:dyDescent="0.25">
      <c r="A59" s="10"/>
      <c r="B59" s="2" t="s">
        <v>3</v>
      </c>
      <c r="C59" s="2"/>
      <c r="D59" s="5"/>
      <c r="E59" s="2"/>
      <c r="F59" s="5"/>
      <c r="G59" s="2"/>
      <c r="H59" s="5"/>
    </row>
    <row r="60" spans="1:8" x14ac:dyDescent="0.25">
      <c r="A60" s="10"/>
      <c r="B60" s="2" t="s">
        <v>4</v>
      </c>
      <c r="C60" s="2"/>
      <c r="D60" s="6"/>
      <c r="E60" s="2"/>
      <c r="F60" s="6"/>
      <c r="G60" s="2"/>
      <c r="H60" s="6"/>
    </row>
    <row r="61" spans="1:8" x14ac:dyDescent="0.25">
      <c r="A61" s="10"/>
      <c r="B61" s="2" t="s">
        <v>5</v>
      </c>
      <c r="C61" s="2"/>
      <c r="D61" s="6"/>
      <c r="E61" s="2"/>
      <c r="F61" s="6"/>
      <c r="G61" s="2"/>
      <c r="H61" s="6"/>
    </row>
    <row r="62" spans="1:8" x14ac:dyDescent="0.25">
      <c r="A62" s="10"/>
      <c r="B62" s="2" t="s">
        <v>6</v>
      </c>
      <c r="C62" s="2"/>
      <c r="D62" s="6"/>
      <c r="E62" s="2"/>
      <c r="F62" s="6"/>
      <c r="G62" s="2"/>
      <c r="H62" s="6"/>
    </row>
    <row r="63" spans="1:8" x14ac:dyDescent="0.25">
      <c r="A63" s="10"/>
      <c r="B63" s="2" t="s">
        <v>7</v>
      </c>
      <c r="C63" s="2"/>
      <c r="D63" s="6"/>
      <c r="E63" s="2"/>
      <c r="F63" s="6"/>
      <c r="G63" s="2"/>
      <c r="H63" s="6"/>
    </row>
    <row r="64" spans="1:8" x14ac:dyDescent="0.25">
      <c r="A64" s="10"/>
      <c r="B64" s="2" t="s">
        <v>8</v>
      </c>
      <c r="C64" s="2"/>
      <c r="D64" s="6"/>
      <c r="E64" s="2"/>
      <c r="F64" s="6"/>
      <c r="G64" s="2"/>
      <c r="H64" s="6"/>
    </row>
    <row r="65" spans="1:8" x14ac:dyDescent="0.25">
      <c r="A65" s="10"/>
      <c r="B65" s="2" t="s">
        <v>9</v>
      </c>
      <c r="C65" s="2"/>
      <c r="D65" s="6"/>
      <c r="E65" s="2"/>
      <c r="F65" s="6"/>
      <c r="G65" s="2"/>
      <c r="H65" s="6"/>
    </row>
    <row r="66" spans="1:8" x14ac:dyDescent="0.25">
      <c r="A66" s="10"/>
      <c r="B66" s="2" t="s">
        <v>10</v>
      </c>
      <c r="C66" s="2"/>
      <c r="D66" s="6"/>
      <c r="E66" s="2"/>
      <c r="F66" s="6"/>
      <c r="G66" s="2"/>
      <c r="H66" s="6"/>
    </row>
    <row r="67" spans="1:8" x14ac:dyDescent="0.25">
      <c r="A67" s="10"/>
      <c r="B67" s="2" t="s">
        <v>11</v>
      </c>
      <c r="C67" s="2"/>
      <c r="D67" s="6"/>
      <c r="E67" s="2"/>
      <c r="F67" s="6"/>
      <c r="G67" s="2"/>
      <c r="H67" s="6"/>
    </row>
    <row r="68" spans="1:8" ht="15.75" thickBot="1" x14ac:dyDescent="0.3">
      <c r="A68" s="11"/>
      <c r="B68" s="3" t="s">
        <v>12</v>
      </c>
      <c r="C68" s="3"/>
      <c r="D68" s="7"/>
      <c r="E68" s="3"/>
      <c r="F68" s="7"/>
      <c r="G68" s="3"/>
      <c r="H68" s="7"/>
    </row>
  </sheetData>
  <mergeCells count="9">
    <mergeCell ref="E2:F2"/>
    <mergeCell ref="G2:H2"/>
    <mergeCell ref="A14:A24"/>
    <mergeCell ref="A58:A68"/>
    <mergeCell ref="A25:A35"/>
    <mergeCell ref="A36:A46"/>
    <mergeCell ref="A47:A57"/>
    <mergeCell ref="A3:A13"/>
    <mergeCell ref="C2:D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Jackson Monk</dc:creator>
  <cp:lastModifiedBy>Jackson Monk</cp:lastModifiedBy>
  <dcterms:created xsi:type="dcterms:W3CDTF">2015-06-05T18:17:20Z</dcterms:created>
  <dcterms:modified xsi:type="dcterms:W3CDTF">2025-11-17T03:57:02Z</dcterms:modified>
</cp:coreProperties>
</file>